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085"/>
  </bookViews>
  <sheets>
    <sheet name="MASTER DATA ITEM" sheetId="1" r:id="rId1"/>
  </sheets>
  <definedNames>
    <definedName name="_xlnm._FilterDatabase" localSheetId="0" hidden="1">'MASTER DATA ITEM'!$A$1:$AI$647</definedName>
  </definedNames>
  <calcPr calcId="144525"/>
</workbook>
</file>

<file path=xl/sharedStrings.xml><?xml version="1.0" encoding="utf-8"?>
<sst xmlns="http://schemas.openxmlformats.org/spreadsheetml/2006/main" count="1364">
  <si>
    <t>Item No.</t>
  </si>
  <si>
    <t>Item Description</t>
  </si>
  <si>
    <t>Active Remarks</t>
  </si>
  <si>
    <t>Item Group</t>
  </si>
  <si>
    <t>Purchasing UoM</t>
  </si>
  <si>
    <t>No. of Items per Purchase Unit</t>
  </si>
  <si>
    <t>ITEM QTY UOM 1</t>
  </si>
  <si>
    <t>UOM 1</t>
  </si>
  <si>
    <t>ITEM QTY UOM 2</t>
  </si>
  <si>
    <t>UOM 2</t>
  </si>
  <si>
    <t>ITEM QTY UOM 3</t>
  </si>
  <si>
    <t>UOM 3</t>
  </si>
  <si>
    <t>ITEM QTY KARTON TO PCS</t>
  </si>
  <si>
    <t>UoM Group</t>
  </si>
  <si>
    <t>No. of Units</t>
  </si>
  <si>
    <t>Sales Tax Definition</t>
  </si>
  <si>
    <t>Purchase Tax Definition</t>
  </si>
  <si>
    <t>Purchase Item</t>
  </si>
  <si>
    <t>Sales Item</t>
  </si>
  <si>
    <t>Inventory Item</t>
  </si>
  <si>
    <t>Manage Batch No. [Yes/No]</t>
  </si>
  <si>
    <t>Group Level 2 Name</t>
  </si>
  <si>
    <t>Group Level 3 Name</t>
  </si>
  <si>
    <t>Brand Name</t>
  </si>
  <si>
    <t>Bar Code</t>
  </si>
  <si>
    <t>Weight 1 - Inventory</t>
  </si>
  <si>
    <t>Active</t>
  </si>
  <si>
    <t>In Stock</t>
  </si>
  <si>
    <t>Foreign Name</t>
  </si>
  <si>
    <t>Weight 1 - Inventory Unit</t>
  </si>
  <si>
    <t>Length</t>
  </si>
  <si>
    <t>Width</t>
  </si>
  <si>
    <t>Height</t>
  </si>
  <si>
    <t>Volume - Sales Unit</t>
  </si>
  <si>
    <t>Weight</t>
  </si>
  <si>
    <t>FGD00001</t>
  </si>
  <si>
    <t>BaliCafé Arabica Gold 10 Capsules x 6g Box</t>
  </si>
  <si>
    <t>FINISHED GOODS (MANUFAKTUR)</t>
  </si>
  <si>
    <t>Karton</t>
  </si>
  <si>
    <t>Box</t>
  </si>
  <si>
    <t>BOX24</t>
  </si>
  <si>
    <t>PPN Out 10%</t>
  </si>
  <si>
    <t>PPN In 11%</t>
  </si>
  <si>
    <t>No</t>
  </si>
  <si>
    <t>Yes</t>
  </si>
  <si>
    <t>Coffee</t>
  </si>
  <si>
    <t>Ground Coffee</t>
  </si>
  <si>
    <t>BaliCafé</t>
  </si>
  <si>
    <t>FGD00002</t>
  </si>
  <si>
    <t>BaliCafé Arabica Gold Drip 5 Sachets x 10g Box</t>
  </si>
  <si>
    <t>BOX20</t>
  </si>
  <si>
    <t>FGD00005</t>
  </si>
  <si>
    <t>BaliCafé Arabica Gold RB 1000g Bag</t>
  </si>
  <si>
    <t>Bag</t>
  </si>
  <si>
    <t>BAG10</t>
  </si>
  <si>
    <t>Roasted Beans</t>
  </si>
  <si>
    <t>FGD00003</t>
  </si>
  <si>
    <t>BaliCafé Arabica Gold RB 200g Can</t>
  </si>
  <si>
    <t>Can</t>
  </si>
  <si>
    <t>CAN36</t>
  </si>
  <si>
    <t>FGD00487</t>
  </si>
  <si>
    <t>CAN12</t>
  </si>
  <si>
    <t>FGD00004</t>
  </si>
  <si>
    <t>BaliCafé Arabica Gold RB 500g Bag</t>
  </si>
  <si>
    <t>BAG20</t>
  </si>
  <si>
    <t>FGD00006</t>
  </si>
  <si>
    <t>BaliCafé Luwak Arabica 10 Capsules x 6g Box</t>
  </si>
  <si>
    <t>FGD00007</t>
  </si>
  <si>
    <t>BaliCafé Luwak Arabica Drip 5 Sachets x 10g Box</t>
  </si>
  <si>
    <t>FGD00008</t>
  </si>
  <si>
    <t>BaliCafé Luwak Arabica RB 100g Can</t>
  </si>
  <si>
    <t>FGD00009</t>
  </si>
  <si>
    <t>BaliCafé Peaberry Robusta 10 Capsules x 6g Box</t>
  </si>
  <si>
    <t>FGD00010</t>
  </si>
  <si>
    <t>BaliCafé Peaberry Robusta Drip 5 Sachets x 10g Box</t>
  </si>
  <si>
    <t>FGD00013</t>
  </si>
  <si>
    <t>BaliCafé Peaberry Robusta RB 1000g Bag</t>
  </si>
  <si>
    <t>FGD00011</t>
  </si>
  <si>
    <t>BaliCafé Peaberry Robusta RB 200g Can</t>
  </si>
  <si>
    <t>FGD00488</t>
  </si>
  <si>
    <t>FGD00012</t>
  </si>
  <si>
    <t>BaliCafé Peaberry Robusta RB 500g Bag</t>
  </si>
  <si>
    <t>FGD00014</t>
  </si>
  <si>
    <t>BaliCafé Robusta 10 Capsules x 6g Box</t>
  </si>
  <si>
    <t>FGD00015</t>
  </si>
  <si>
    <t>BaliCafé Robusta Drip 5 Sachets x 10g Box</t>
  </si>
  <si>
    <t>FGD00018</t>
  </si>
  <si>
    <t>BaliCafé Robusta RB 1000g Bag</t>
  </si>
  <si>
    <t>FGD00016</t>
  </si>
  <si>
    <t>BaliCafé Robusta RB 200g Can</t>
  </si>
  <si>
    <t>FGD00489</t>
  </si>
  <si>
    <t>FGD00017</t>
  </si>
  <si>
    <t>BaliCafé Robusta RB 500g Bag</t>
  </si>
  <si>
    <t>FGD00019</t>
  </si>
  <si>
    <t>BaliCafé Sunset Blend 10 Capsules x 6g Box</t>
  </si>
  <si>
    <t>FGD00020</t>
  </si>
  <si>
    <t>BaliCafé Sunset Blend Drip 5 Sachets x 10g Box</t>
  </si>
  <si>
    <t>FGD00023</t>
  </si>
  <si>
    <t>BaliCafé Sunset Blend RB 1000g Bag</t>
  </si>
  <si>
    <t>FGD00021</t>
  </si>
  <si>
    <t>BaliCafé Sunset Blend RB 200g Can</t>
  </si>
  <si>
    <t>FGD00490</t>
  </si>
  <si>
    <t>FGD00022</t>
  </si>
  <si>
    <t>BaliCafé Sunset Blend RB 500g Bag</t>
  </si>
  <si>
    <t>FGD00024</t>
  </si>
  <si>
    <t>Bro Choco Banana P10</t>
  </si>
  <si>
    <t>Chocolate</t>
  </si>
  <si>
    <t>Chocolate Mix</t>
  </si>
  <si>
    <t>Bro Choco</t>
  </si>
  <si>
    <t>FGD00025</t>
  </si>
  <si>
    <t>Bro Choco Banana P10*</t>
  </si>
  <si>
    <t>FGD00361</t>
  </si>
  <si>
    <t>Bro Choco Banana P20</t>
  </si>
  <si>
    <t>BAG5</t>
  </si>
  <si>
    <t>FGD00363</t>
  </si>
  <si>
    <t>Bro Choco Banana P20*</t>
  </si>
  <si>
    <t>FGD00440</t>
  </si>
  <si>
    <t>Bro Choco Banana P20: 1Bag + 2Tbl FT</t>
  </si>
  <si>
    <t>FGD00026</t>
  </si>
  <si>
    <t>Bro Choco Banana R10</t>
  </si>
  <si>
    <t>Sachet</t>
  </si>
  <si>
    <t>SACHET80</t>
  </si>
  <si>
    <t>FGD00027</t>
  </si>
  <si>
    <t>Bro Choco Banana R10: 1Rtg + 1Tbl FT</t>
  </si>
  <si>
    <t>FGD00028</t>
  </si>
  <si>
    <t>Bro Choco Banana R10: 5Bks + 1Bks, 2Rtg + 1Sealware</t>
  </si>
  <si>
    <t>SACHET96</t>
  </si>
  <si>
    <t>FGD00031</t>
  </si>
  <si>
    <t>Bro Choco Original R10</t>
  </si>
  <si>
    <t>FGD00032</t>
  </si>
  <si>
    <t>Bro Choco Original R10: 1Rtg + 1Tbl FT</t>
  </si>
  <si>
    <t>FGD00033</t>
  </si>
  <si>
    <t>Bro Choco Original R10: 5Bks + 1Bks, 2Rtg + 1Sealware</t>
  </si>
  <si>
    <t>FGD00526</t>
  </si>
  <si>
    <t>Bro Choco Original 1000g</t>
  </si>
  <si>
    <t>KG</t>
  </si>
  <si>
    <t>Manual</t>
  </si>
  <si>
    <t>FGD00029</t>
  </si>
  <si>
    <t>Bro Choco Original P10</t>
  </si>
  <si>
    <t>FGD00030</t>
  </si>
  <si>
    <t>Bro Choco Original P10*</t>
  </si>
  <si>
    <t>FGD00362</t>
  </si>
  <si>
    <t>Bro Choco Original P20</t>
  </si>
  <si>
    <t>FGD00364</t>
  </si>
  <si>
    <t>Bro Choco Original P20*</t>
  </si>
  <si>
    <t>FGD00441</t>
  </si>
  <si>
    <t>Bro Choco Original P20: 1Bag + 2Tbl FT</t>
  </si>
  <si>
    <t>FGD00035</t>
  </si>
  <si>
    <t>Hao Cafe Cappuccino R10</t>
  </si>
  <si>
    <t>Renceng</t>
  </si>
  <si>
    <t>SACHET250</t>
  </si>
  <si>
    <t>Instant Coffee Mix</t>
  </si>
  <si>
    <t>Hao Cafe</t>
  </si>
  <si>
    <t>FGD00037</t>
  </si>
  <si>
    <t>Hao Cafe L'Original R10</t>
  </si>
  <si>
    <t>FGD00039</t>
  </si>
  <si>
    <t>Hao Cafe Mocca Mocha R10</t>
  </si>
  <si>
    <t>FGD00041</t>
  </si>
  <si>
    <t>Hao Cafe Vanilla Latte R10</t>
  </si>
  <si>
    <t>FGD00043</t>
  </si>
  <si>
    <t>Jaheku Jahe Gula Aren R10</t>
  </si>
  <si>
    <t>Ginger</t>
  </si>
  <si>
    <t>Non Defined</t>
  </si>
  <si>
    <t>Jaheku</t>
  </si>
  <si>
    <t>FGD00044</t>
  </si>
  <si>
    <t>Jaheku Jahe Gula Aren R10: 1Rtg + 1Tbl</t>
  </si>
  <si>
    <t>FGD00420</t>
  </si>
  <si>
    <t>Brown Sugar 1000g</t>
  </si>
  <si>
    <t>FGD00045</t>
  </si>
  <si>
    <t>Jaheku Jahe Gula Aren R10: 2Rtg + 1Gls</t>
  </si>
  <si>
    <t>FGD00047</t>
  </si>
  <si>
    <t>Jaheku Jahe Madu R10</t>
  </si>
  <si>
    <t>FGD00593</t>
  </si>
  <si>
    <t>Ceria 1500g</t>
  </si>
  <si>
    <t>BAG4</t>
  </si>
  <si>
    <t>FGD00639</t>
  </si>
  <si>
    <t>Ceria 250g</t>
  </si>
  <si>
    <t>BAG9</t>
  </si>
  <si>
    <t>FGD00641</t>
  </si>
  <si>
    <t>Ceria 250g: 3 Karton + 1 Kaos</t>
  </si>
  <si>
    <t>FGD00034</t>
  </si>
  <si>
    <t>Hao Cafe Cappuccino 5 Sachets x 25g Box</t>
  </si>
  <si>
    <t>FGD00048</t>
  </si>
  <si>
    <t>Jaheku Jahe Madu R10: 1Rtg + 1Tbl</t>
  </si>
  <si>
    <t>FGD00036</t>
  </si>
  <si>
    <t>Hao Cafe L'Original 5 Sachets x 20g Box</t>
  </si>
  <si>
    <t>BOX36</t>
  </si>
  <si>
    <t>FGD00049</t>
  </si>
  <si>
    <t>Jaheku Jahe Madu R10: 2Rtg + 1Gls</t>
  </si>
  <si>
    <t>FGD00038</t>
  </si>
  <si>
    <t>Hao Cafe Mocca Mocha 5 Sachets x 20g Box</t>
  </si>
  <si>
    <t>FGD00058</t>
  </si>
  <si>
    <t>Rasa Sayang Coffee Mix R10</t>
  </si>
  <si>
    <t>SACHET120K</t>
  </si>
  <si>
    <t>Rasa Sayang</t>
  </si>
  <si>
    <t>FGD00040</t>
  </si>
  <si>
    <t>Hao Cafe Vanilla Latte 5 Sachets x 20g Box</t>
  </si>
  <si>
    <t>FGD00064</t>
  </si>
  <si>
    <t>Rasa Sayang Gold 8g</t>
  </si>
  <si>
    <t>SACHET200R</t>
  </si>
  <si>
    <t>FGD00065</t>
  </si>
  <si>
    <t>Rasa Sayang Gold 30g</t>
  </si>
  <si>
    <t>SACHET100</t>
  </si>
  <si>
    <t>FGD00066</t>
  </si>
  <si>
    <t>Rasa Sayang Gold 65g</t>
  </si>
  <si>
    <t>SACHET50</t>
  </si>
  <si>
    <t>FGD00067</t>
  </si>
  <si>
    <t>Rasa Sayang Gold 150g</t>
  </si>
  <si>
    <t>SACHET</t>
  </si>
  <si>
    <t>FGD00465</t>
  </si>
  <si>
    <t>Jaheku Jahe Gula Aren P10</t>
  </si>
  <si>
    <t>BAG25</t>
  </si>
  <si>
    <t>FGD00042</t>
  </si>
  <si>
    <t>Jaheku Jahe Gula Aren P10*</t>
  </si>
  <si>
    <t>FGD00359</t>
  </si>
  <si>
    <t>Jaheku Jahe Gula Aren P20</t>
  </si>
  <si>
    <t>BAG12</t>
  </si>
  <si>
    <t>FGD00354</t>
  </si>
  <si>
    <t>Jaheku Jahe Gula Aren P20*</t>
  </si>
  <si>
    <t>FGD00492</t>
  </si>
  <si>
    <t>Jaheku Jahe Gula Aren P20: 1Bag +2Gls</t>
  </si>
  <si>
    <t>FGD00068</t>
  </si>
  <si>
    <t>Rasa Sayang Gold 165g</t>
  </si>
  <si>
    <t>SACHET20</t>
  </si>
  <si>
    <t>FGD00069</t>
  </si>
  <si>
    <t>Rasa Sayang Gold 380g</t>
  </si>
  <si>
    <t>SACHET9</t>
  </si>
  <si>
    <t>FGD00070</t>
  </si>
  <si>
    <t>Rasa Sayang Gula R10</t>
  </si>
  <si>
    <t>SACHET120</t>
  </si>
  <si>
    <t>Coffee Mix</t>
  </si>
  <si>
    <t>FGD00071</t>
  </si>
  <si>
    <t>Rasa Sayang Karamelo R10</t>
  </si>
  <si>
    <t>FGD00072</t>
  </si>
  <si>
    <t>Rasa Sayang Kopi Bali 40g</t>
  </si>
  <si>
    <t>FGD00073</t>
  </si>
  <si>
    <t>Rasa Sayang Kopi Bali 40g: 2Rtg + 1Gls</t>
  </si>
  <si>
    <t>FGD00466</t>
  </si>
  <si>
    <t>Jaheku Jahe Madu P10</t>
  </si>
  <si>
    <t>FGD00046</t>
  </si>
  <si>
    <t>Jaheku Jahe Madu P10*</t>
  </si>
  <si>
    <t>FGD00360</t>
  </si>
  <si>
    <t>Jaheku Jahe Madu P20</t>
  </si>
  <si>
    <t>FGD00355</t>
  </si>
  <si>
    <t>Jaheku Jahe Madu P20*</t>
  </si>
  <si>
    <t>FGD00493</t>
  </si>
  <si>
    <t>Jaheku Jahe Madu P20: 1Bag +2Gls</t>
  </si>
  <si>
    <t>FGD00074</t>
  </si>
  <si>
    <t>Rasa Sayang Kopi Bali 80g</t>
  </si>
  <si>
    <t>FGD00075</t>
  </si>
  <si>
    <t>Rasa Sayang Kopi Bali 80g: 1Rtg + 1Gls</t>
  </si>
  <si>
    <t>FGD00076</t>
  </si>
  <si>
    <t>Rasa Sayang Kopi Bali 200g</t>
  </si>
  <si>
    <t>FGD00078</t>
  </si>
  <si>
    <t>Rasa Sayang Kopi Jahe R10</t>
  </si>
  <si>
    <t>FGD00079</t>
  </si>
  <si>
    <t>Rasa Sayang Mocha R10</t>
  </si>
  <si>
    <t>FGD00080</t>
  </si>
  <si>
    <t>Rasa Sayang SQ 18g</t>
  </si>
  <si>
    <t>FGD00341</t>
  </si>
  <si>
    <t>Kopi Biji Goreng Bali</t>
  </si>
  <si>
    <t>FGD00275</t>
  </si>
  <si>
    <t>Kopi Biji Goreng No. 1</t>
  </si>
  <si>
    <t>FGD00276</t>
  </si>
  <si>
    <t>Kopi Biji Goreng No. 2</t>
  </si>
  <si>
    <t>FGD00277</t>
  </si>
  <si>
    <t>Kopi Biji Goreng No. 3</t>
  </si>
  <si>
    <t>FGD00494</t>
  </si>
  <si>
    <t>Kopi Bubuk GCE 5kg</t>
  </si>
  <si>
    <t>FGD00273</t>
  </si>
  <si>
    <t>Kopi Rasa Sayang KRS Biji Goreng</t>
  </si>
  <si>
    <t>FGD00274</t>
  </si>
  <si>
    <t>Kopi Rasa Sayang KRS Bubuk</t>
  </si>
  <si>
    <t>FGD00587</t>
  </si>
  <si>
    <t>Kopi Rasa Sayang KRS Bubuk K</t>
  </si>
  <si>
    <t>FGD00586</t>
  </si>
  <si>
    <t>Kopi Rasa Sayang KRS Bubuk S</t>
  </si>
  <si>
    <t>FGD00081</t>
  </si>
  <si>
    <t>Rasa Sayang SQ 60g</t>
  </si>
  <si>
    <t>FGD00050</t>
  </si>
  <si>
    <t>MV Cocoa Dark Brown 1000g</t>
  </si>
  <si>
    <t>Cocoa Powder</t>
  </si>
  <si>
    <t>MV Cocoa</t>
  </si>
  <si>
    <t>FGD00051</t>
  </si>
  <si>
    <t>MV Cocoa Dark Red 1000g</t>
  </si>
  <si>
    <t>FGD00052</t>
  </si>
  <si>
    <t>MV Cocoa Reddish Brown 1000g</t>
  </si>
  <si>
    <t>FGD00053</t>
  </si>
  <si>
    <t>MV Cocoa Sweet Cocoa 1000g</t>
  </si>
  <si>
    <t>FGD00506</t>
  </si>
  <si>
    <t>Nanyang Coffee GC 250g Bag</t>
  </si>
  <si>
    <t>BAG24</t>
  </si>
  <si>
    <t>FGD00368</t>
  </si>
  <si>
    <t>Nanyang Coffee RB 1000g</t>
  </si>
  <si>
    <t>FGD00315</t>
  </si>
  <si>
    <t>Nanyang Coffee RB 20g</t>
  </si>
  <si>
    <t>PCS</t>
  </si>
  <si>
    <t>Supresso</t>
  </si>
  <si>
    <t>FGD00484</t>
  </si>
  <si>
    <t>Paket JBUS</t>
  </si>
  <si>
    <t>SET</t>
  </si>
  <si>
    <t>FGD00518</t>
  </si>
  <si>
    <t>Premix CPO</t>
  </si>
  <si>
    <t>FGD00634</t>
  </si>
  <si>
    <t>Premix FES-35</t>
  </si>
  <si>
    <t>FGD00527</t>
  </si>
  <si>
    <t>Premix GLP</t>
  </si>
  <si>
    <t>FGD00522</t>
  </si>
  <si>
    <t>Premix KGA</t>
  </si>
  <si>
    <t>FGD00523</t>
  </si>
  <si>
    <t>Premix KSA</t>
  </si>
  <si>
    <t>FGD00082</t>
  </si>
  <si>
    <t>Rasa Sayang Susu R10</t>
  </si>
  <si>
    <t>FGD00056</t>
  </si>
  <si>
    <t>Primadona 10kg</t>
  </si>
  <si>
    <t>Pieces</t>
  </si>
  <si>
    <t>PCS1</t>
  </si>
  <si>
    <t>Primadona</t>
  </si>
  <si>
    <t>FGD00057</t>
  </si>
  <si>
    <t>Primadona 10kg @1kg</t>
  </si>
  <si>
    <t>PCS10</t>
  </si>
  <si>
    <t>FGD00054</t>
  </si>
  <si>
    <t>Primadona 5kg</t>
  </si>
  <si>
    <t>FGD00055</t>
  </si>
  <si>
    <t>Primadona 5kg @1kg</t>
  </si>
  <si>
    <t>PCS5</t>
  </si>
  <si>
    <t>FGD00515</t>
  </si>
  <si>
    <t>Rasa Sayang All-Day Blend 200g Can</t>
  </si>
  <si>
    <t>FGD00083</t>
  </si>
  <si>
    <t>Rasa Sayang Tempo Doeloe 15g</t>
  </si>
  <si>
    <t>FGD00084</t>
  </si>
  <si>
    <t>Rasa Sayang Tempo Doeloe 30g</t>
  </si>
  <si>
    <t>FGD00059</t>
  </si>
  <si>
    <t>Rasa Sayang Gift Set 150g Cangkir Lepek</t>
  </si>
  <si>
    <t>Set</t>
  </si>
  <si>
    <t>SET12</t>
  </si>
  <si>
    <t>FGD00060</t>
  </si>
  <si>
    <t>Rasa Sayang Gift Set 150g Mangkok Kecil</t>
  </si>
  <si>
    <t>FGD00061</t>
  </si>
  <si>
    <t>Rasa Sayang Gift Set 150g Mug Keramik</t>
  </si>
  <si>
    <t>FGD00062</t>
  </si>
  <si>
    <t>Rasa Sayang Gift Set 150g Piring Ceper</t>
  </si>
  <si>
    <t>SET8</t>
  </si>
  <si>
    <t>FGD00063</t>
  </si>
  <si>
    <t>Rasa Sayang Gift Set 150g Piring Keramik</t>
  </si>
  <si>
    <t>FGD00085</t>
  </si>
  <si>
    <t>Rasa Sayang Tempo Doeloe 60g</t>
  </si>
  <si>
    <t>FGD00086</t>
  </si>
  <si>
    <t>Rasa Sayang Tempo Doeloe 165g</t>
  </si>
  <si>
    <t>FGD00087</t>
  </si>
  <si>
    <t>Rasa Sayang Tempo Doeloe 250g</t>
  </si>
  <si>
    <t>SACHET24</t>
  </si>
  <si>
    <t>FGD00088</t>
  </si>
  <si>
    <t>Rasa Sayang Tempo Doeloe 500g</t>
  </si>
  <si>
    <t>SACHET12</t>
  </si>
  <si>
    <t>FGD00136</t>
  </si>
  <si>
    <t>Supresso Sachet Aceh Gayo RB 18g</t>
  </si>
  <si>
    <t>SACHET10</t>
  </si>
  <si>
    <t>FGD00470</t>
  </si>
  <si>
    <t>FGD00137</t>
  </si>
  <si>
    <t>Supresso Sachet Bali Kintamani RB 18g</t>
  </si>
  <si>
    <t>FGD00471</t>
  </si>
  <si>
    <t>Rasa Sayang Gold 380g: 1Bag + 1Gls</t>
  </si>
  <si>
    <t>FGD00138</t>
  </si>
  <si>
    <t>Supresso Sachet Flores Bajawa RB 18g</t>
  </si>
  <si>
    <t>FGD00139</t>
  </si>
  <si>
    <t>Supresso Sachet Java Organic RB 18g</t>
  </si>
  <si>
    <t>FGD00140</t>
  </si>
  <si>
    <t>Supresso Sachet Java RB 18g</t>
  </si>
  <si>
    <t>FGD00141</t>
  </si>
  <si>
    <t>Supresso Sachet Lampung RB 18g</t>
  </si>
  <si>
    <t>FGD00142</t>
  </si>
  <si>
    <t>Supresso Sachet Luwak RB 18g</t>
  </si>
  <si>
    <t>FGD00143</t>
  </si>
  <si>
    <t>Supresso Sachet Manglayang RB 18g</t>
  </si>
  <si>
    <t>FGD00144</t>
  </si>
  <si>
    <t>Supresso Sachet Papua RB 18g</t>
  </si>
  <si>
    <t>FGD00145</t>
  </si>
  <si>
    <t>Supresso Sachet Peaberry RB 18g</t>
  </si>
  <si>
    <t>FGD00146</t>
  </si>
  <si>
    <t>Supresso Sachet Sumatra Mandheling Rainforest RB 18g</t>
  </si>
  <si>
    <t>FGD00147</t>
  </si>
  <si>
    <t>Supresso Sachet Sumatra Mandheling RB 18g</t>
  </si>
  <si>
    <t>FGD00148</t>
  </si>
  <si>
    <t>Supresso Sachet Toraja Kolasi RB 18g</t>
  </si>
  <si>
    <t>FGD00149</t>
  </si>
  <si>
    <t>Supresso Sachet West Java RB 18g</t>
  </si>
  <si>
    <t>FGD00204</t>
  </si>
  <si>
    <t>Topten Special 10g</t>
  </si>
  <si>
    <t>SACHET900</t>
  </si>
  <si>
    <t>TopTen</t>
  </si>
  <si>
    <t>FGD00205</t>
  </si>
  <si>
    <t>Topten Special 10g: 1Bag + 1Prg</t>
  </si>
  <si>
    <t>FGD00206</t>
  </si>
  <si>
    <t>Tugu Buaya 12g B30</t>
  </si>
  <si>
    <t>SACHET1800</t>
  </si>
  <si>
    <t>Tugu Buaya</t>
  </si>
  <si>
    <t>FGD00077</t>
  </si>
  <si>
    <t>Rasa Sayang Kopi Bali Tuper 2x200g</t>
  </si>
  <si>
    <t>PCS12</t>
  </si>
  <si>
    <t>FGD00207</t>
  </si>
  <si>
    <t>Tugu Buaya 12g R10</t>
  </si>
  <si>
    <t>FGD00210</t>
  </si>
  <si>
    <t>Tugu Buaya Gula R10</t>
  </si>
  <si>
    <t>FGD00516</t>
  </si>
  <si>
    <t>Rasa Sayang Luwak Blend 200g Can</t>
  </si>
  <si>
    <t>FGD00211</t>
  </si>
  <si>
    <t>Tugu Buaya Kopi Jahe R10</t>
  </si>
  <si>
    <t>FGD00212</t>
  </si>
  <si>
    <t>Tugu Buaya Mocca R10</t>
  </si>
  <si>
    <t>FGD00213</t>
  </si>
  <si>
    <t>Tugu Buaya Special 7g</t>
  </si>
  <si>
    <t>FGD00214</t>
  </si>
  <si>
    <t>Tugu Buaya Special 7g Papan</t>
  </si>
  <si>
    <t>SACHET200</t>
  </si>
  <si>
    <t>FGD00215</t>
  </si>
  <si>
    <t>Tugu Buaya Special 30g</t>
  </si>
  <si>
    <t>FGD00216</t>
  </si>
  <si>
    <t>Tugu Buaya Special 60g</t>
  </si>
  <si>
    <t>FGD00217</t>
  </si>
  <si>
    <t>Tugu Buaya Special 185g</t>
  </si>
  <si>
    <t>FGD00218</t>
  </si>
  <si>
    <t>Tugu Buaya Special 450g</t>
  </si>
  <si>
    <t>SACHET10K</t>
  </si>
  <si>
    <t>FGD00219</t>
  </si>
  <si>
    <t>Tugu Buaya Special Mix R10</t>
  </si>
  <si>
    <t>FGD00220</t>
  </si>
  <si>
    <t>Tugu Buaya Susu R10</t>
  </si>
  <si>
    <t>FGD00221</t>
  </si>
  <si>
    <t>Uang Emas 20g</t>
  </si>
  <si>
    <t>Uang Emas</t>
  </si>
  <si>
    <t>FGD00222</t>
  </si>
  <si>
    <t>Uang Emas 35g</t>
  </si>
  <si>
    <t>SACHET50K</t>
  </si>
  <si>
    <t>FGD00223</t>
  </si>
  <si>
    <t>Uang Emas 100g</t>
  </si>
  <si>
    <t>FGD00224</t>
  </si>
  <si>
    <t>Uang Emas 200g</t>
  </si>
  <si>
    <t>FGD00225</t>
  </si>
  <si>
    <t>Uang Emas Special 60g</t>
  </si>
  <si>
    <t>FGD00226</t>
  </si>
  <si>
    <t>Uang Emas Special 10g</t>
  </si>
  <si>
    <t>FGD00227</t>
  </si>
  <si>
    <t>Uang Emas Special 10g: 2Rtg + 1Gls</t>
  </si>
  <si>
    <t>FGD00228</t>
  </si>
  <si>
    <t>Uang Emas Special 30g</t>
  </si>
  <si>
    <t>FGD00229</t>
  </si>
  <si>
    <t>Uang Emas Special 135g</t>
  </si>
  <si>
    <t>SACHET25</t>
  </si>
  <si>
    <t>FGD00230</t>
  </si>
  <si>
    <t>Uang Emas Special 135g: 2Bks + 1Prg</t>
  </si>
  <si>
    <t>FGD00231</t>
  </si>
  <si>
    <t>Uang Emas Special 135g: 3Bks + 1Prg</t>
  </si>
  <si>
    <t>FGD00232</t>
  </si>
  <si>
    <t>Uang Emas Special 380g</t>
  </si>
  <si>
    <t>FGD00233</t>
  </si>
  <si>
    <t>Uang Emas Special 380g: 1Bag + 1Gls Tpr</t>
  </si>
  <si>
    <t>FGD00237</t>
  </si>
  <si>
    <t>Uang Emas Susu R10</t>
  </si>
  <si>
    <t>FGD00243</t>
  </si>
  <si>
    <t>UCafe Instant Coffee Mix Cappuccino R10</t>
  </si>
  <si>
    <t>Ucafe</t>
  </si>
  <si>
    <t>FGD00244</t>
  </si>
  <si>
    <t>UCafe Instant Coffee Mix Cappuccino R10: 2Bks + 1Bks</t>
  </si>
  <si>
    <t>SACHET180</t>
  </si>
  <si>
    <t>FGD00250</t>
  </si>
  <si>
    <t>UCafe Instant Coffee Mix Hazelnut R10</t>
  </si>
  <si>
    <t>FGD00251</t>
  </si>
  <si>
    <t>UCafe Instant Coffee Mix Hazelnut R10: 2Bks + 1Bks</t>
  </si>
  <si>
    <t>SACHET375</t>
  </si>
  <si>
    <t>FGD00257</t>
  </si>
  <si>
    <t>UCafe Instant Coffee Mix Mochaccino R10</t>
  </si>
  <si>
    <t>FGD00258</t>
  </si>
  <si>
    <t>UCafe Instant Coffee Mix Mochaccino R10: 2Bks + 1Bks</t>
  </si>
  <si>
    <t>FGD00583</t>
  </si>
  <si>
    <t>Supresso Assorted Drip 10 Sachets x 10g Box</t>
  </si>
  <si>
    <t>BOX12</t>
  </si>
  <si>
    <t>FGD00621</t>
  </si>
  <si>
    <t>Supresso Black Coffee B20</t>
  </si>
  <si>
    <t>BOX40</t>
  </si>
  <si>
    <t>FGD00632</t>
  </si>
  <si>
    <t>Supresso Chocolatier Chocomalt B15</t>
  </si>
  <si>
    <t>Supresso-Ucafe</t>
  </si>
  <si>
    <t>FGD00603</t>
  </si>
  <si>
    <t>Supresso Chocolatier Peppermint B15</t>
  </si>
  <si>
    <t>FGD00602</t>
  </si>
  <si>
    <t>Supresso Chocolatier Salted Caramel B15</t>
  </si>
  <si>
    <t>FGD00601</t>
  </si>
  <si>
    <t>Supresso Chocolatier Signature Chocolate B15</t>
  </si>
  <si>
    <t>FGD00648</t>
  </si>
  <si>
    <t>Supresso Fine Blend 2g B20</t>
  </si>
  <si>
    <t>BOX30</t>
  </si>
  <si>
    <t>FGD00445</t>
  </si>
  <si>
    <t>Supresso GC Decafeine Blend 10 Capsules x 6g Box</t>
  </si>
  <si>
    <t>FGD00566</t>
  </si>
  <si>
    <t>Supresso GC Decafeine Blend 10 Capsules x 6g Box: 1Box + 1Box</t>
  </si>
  <si>
    <t>FGD00464</t>
  </si>
  <si>
    <t>Supresso GC Decafeine Blend RB 1000g Bag</t>
  </si>
  <si>
    <t>BAG15</t>
  </si>
  <si>
    <t>FGD00461</t>
  </si>
  <si>
    <t>Supresso GC Decafeine Blend RB 200g Can</t>
  </si>
  <si>
    <t>FGD00462</t>
  </si>
  <si>
    <t>Supresso GC Decafeine Blend RB 250g Bag</t>
  </si>
  <si>
    <t>FGD00463</t>
  </si>
  <si>
    <t>Supresso GC Decafeine Blend RB 500g Bag</t>
  </si>
  <si>
    <t>BAG26</t>
  </si>
  <si>
    <t>FGD00454</t>
  </si>
  <si>
    <t>Supresso GC Equilibre Blend 10 Capsules x 6g Box</t>
  </si>
  <si>
    <t>FGD00567</t>
  </si>
  <si>
    <t>Supresso GC Equilibre Blend 10 Capsules x 6g Box: 1Box + 1Box</t>
  </si>
  <si>
    <t>FGD00089</t>
  </si>
  <si>
    <t>Supresso GC Equilibre Blend Drip 5 Sachets x 10g Box</t>
  </si>
  <si>
    <t>FGD00437</t>
  </si>
  <si>
    <t>Supresso GC Equilibre Blend GC 250g Bag</t>
  </si>
  <si>
    <t>FGD00093</t>
  </si>
  <si>
    <t>Supresso GC Equilibre Blend RB 1000g Bag</t>
  </si>
  <si>
    <t>FGD00371</t>
  </si>
  <si>
    <t>FGD00090</t>
  </si>
  <si>
    <t>Supresso GC Equilibre Blend RB 200g Can</t>
  </si>
  <si>
    <t>FGD00476</t>
  </si>
  <si>
    <t>FGD00091</t>
  </si>
  <si>
    <t>Supresso GC Equilibre Blend RB 250g Bag</t>
  </si>
  <si>
    <t>FGD00092</t>
  </si>
  <si>
    <t>Supresso GC Equilibre Blend RB 500g Bag</t>
  </si>
  <si>
    <t>FGD00370</t>
  </si>
  <si>
    <t>FGD00453</t>
  </si>
  <si>
    <t>Supresso GC Espresso Blend 10 Capsules x 6g Box</t>
  </si>
  <si>
    <t>FGD00568</t>
  </si>
  <si>
    <t>Supresso GC Espresso Blend 10 Capsules x 6g Box: 1Box + 1Box</t>
  </si>
  <si>
    <t>FGD00350</t>
  </si>
  <si>
    <t>Supresso GC Espresso Blend Drip 5 Sachets x 10g Box</t>
  </si>
  <si>
    <t>FGD00291</t>
  </si>
  <si>
    <t>Supresso GC Espresso Blend GC 200g Can</t>
  </si>
  <si>
    <t>FGD00629</t>
  </si>
  <si>
    <t>FGD00436</t>
  </si>
  <si>
    <t>Supresso GC Espresso Blend GC 250g Bag</t>
  </si>
  <si>
    <t>FGD00097</t>
  </si>
  <si>
    <t>Supresso GC Espresso Blend RB 1000g Bag</t>
  </si>
  <si>
    <t>FGD00373</t>
  </si>
  <si>
    <t>FGD00094</t>
  </si>
  <si>
    <t>Supresso GC Espresso Blend RB 200g Can</t>
  </si>
  <si>
    <t>FGD00475</t>
  </si>
  <si>
    <t>FGD00095</t>
  </si>
  <si>
    <t>Supresso GC Espresso Blend RB 250g Bag</t>
  </si>
  <si>
    <t>FGD00096</t>
  </si>
  <si>
    <t>Supresso GC Espresso Blend RB 500g Bag</t>
  </si>
  <si>
    <t>FGD00372</t>
  </si>
  <si>
    <t>FGD00456</t>
  </si>
  <si>
    <t>Supresso GC Exotic Blend 10 Capsules x 6g Box</t>
  </si>
  <si>
    <t>FGD00569</t>
  </si>
  <si>
    <t>Supresso GC Exotic Blend 10 Capsules x 6g Box: 1Box + 1Box</t>
  </si>
  <si>
    <t>FGD00351</t>
  </si>
  <si>
    <t>Supresso GC Exotic Blend Drip 5 Sachets x 10g Box</t>
  </si>
  <si>
    <t>FGD00630</t>
  </si>
  <si>
    <t>Supresso GC Exotic Blend GC 200g Can</t>
  </si>
  <si>
    <t>FGD00439</t>
  </si>
  <si>
    <t>Supresso GC Exotic Blend GC 250g Bag</t>
  </si>
  <si>
    <t>FGD00101</t>
  </si>
  <si>
    <t>Supresso GC Exotic Blend RB 1000g Bag</t>
  </si>
  <si>
    <t>FGD00375</t>
  </si>
  <si>
    <t>FGD00098</t>
  </si>
  <si>
    <t>Supresso GC Exotic Blend RB 200g Can</t>
  </si>
  <si>
    <t>FGD00478</t>
  </si>
  <si>
    <t>FGD00099</t>
  </si>
  <si>
    <t>Supresso GC Exotic Blend RB 250g Bag</t>
  </si>
  <si>
    <t>FGD00100</t>
  </si>
  <si>
    <t>Supresso GC Exotic Blend RB 500g Bag</t>
  </si>
  <si>
    <t>FGD00374</t>
  </si>
  <si>
    <t>FGD00455</t>
  </si>
  <si>
    <t>Supresso GC Lumiere Blend 10 Capsules x 6g Box</t>
  </si>
  <si>
    <t>FGD00553</t>
  </si>
  <si>
    <t>Supresso GC Lumiere Blend 10 Capsules x 6g Box: 1Box + 1Box</t>
  </si>
  <si>
    <t>FGD00352</t>
  </si>
  <si>
    <t>Supresso GC Lumiere Blend Drip 5 Sachets x 10g Box</t>
  </si>
  <si>
    <t>FGD00438</t>
  </si>
  <si>
    <t>Supresso GC Lumiere Blend GC 250g Bag</t>
  </si>
  <si>
    <t>FGD00105</t>
  </si>
  <si>
    <t>Supresso GC Lumiere Blend RB 1000g Bag</t>
  </si>
  <si>
    <t>FGD00377</t>
  </si>
  <si>
    <t>FGD00102</t>
  </si>
  <si>
    <t>Supresso GC Lumiere Blend RB 200g Can</t>
  </si>
  <si>
    <t>FGD00477</t>
  </si>
  <si>
    <t>FGD00103</t>
  </si>
  <si>
    <t>Supresso GC Lumiere Blend RB 250g Bag</t>
  </si>
  <si>
    <t>FGD00104</t>
  </si>
  <si>
    <t>Supresso GC Lumiere Blend RB 500g Bag</t>
  </si>
  <si>
    <t>FGD00376</t>
  </si>
  <si>
    <t>FGD00312</t>
  </si>
  <si>
    <t>Supresso GC Mix 5 Capsules x 6g Box</t>
  </si>
  <si>
    <t>BOX88</t>
  </si>
  <si>
    <t>FGD00446</t>
  </si>
  <si>
    <t>Supresso GC Ombre Blend 10 Capsules x 6g Box</t>
  </si>
  <si>
    <t>FGD00570</t>
  </si>
  <si>
    <t>Supresso GC Ombre Blend 10 Capsules x 6g Box: 1Box + 1Box</t>
  </si>
  <si>
    <t>FGD00628</t>
  </si>
  <si>
    <t>Supresso GC Ombre Blend GC 200g Can</t>
  </si>
  <si>
    <t>FGD00460</t>
  </si>
  <si>
    <t>Supresso GC Ombre Blend RB 1000g Bag</t>
  </si>
  <si>
    <t>FGD00457</t>
  </si>
  <si>
    <t>Supresso GC Ombre Blend RB 200g Can</t>
  </si>
  <si>
    <t>FGD00458</t>
  </si>
  <si>
    <t>Supresso GC Ombre Blend RB 250g Bag</t>
  </si>
  <si>
    <t>FGD00459</t>
  </si>
  <si>
    <t>Supresso GC Ombre Blend RB 500g Bag</t>
  </si>
  <si>
    <t>FGD00452</t>
  </si>
  <si>
    <t>Supresso GC Signature Blend 10 Capsules x 6g Box</t>
  </si>
  <si>
    <t>FGD00571</t>
  </si>
  <si>
    <t>Supresso GC Signature Blend 10 Capsules x 6g Box: 1Box + 1Box</t>
  </si>
  <si>
    <t>FGD00353</t>
  </si>
  <si>
    <t>Supresso GC Signature Blend Drip 5 Sachets x 10g Box</t>
  </si>
  <si>
    <t>FGD00631</t>
  </si>
  <si>
    <t>Supresso GC Signature Blend GC 200g Can</t>
  </si>
  <si>
    <t>FGD00435</t>
  </si>
  <si>
    <t>Supresso GC Signature Blend GC 250g Bag</t>
  </si>
  <si>
    <t>FGD00109</t>
  </si>
  <si>
    <t>Supresso GC Signature Blend RB 1000g Bag</t>
  </si>
  <si>
    <t>FGD00379</t>
  </si>
  <si>
    <t>FGD00106</t>
  </si>
  <si>
    <t>Supresso GC Signature Blend RB 200g Can</t>
  </si>
  <si>
    <t>FGD00474</t>
  </si>
  <si>
    <t>FGD00107</t>
  </si>
  <si>
    <t>Supresso GC Signature Blend RB 250g Bag</t>
  </si>
  <si>
    <t>FGD00108</t>
  </si>
  <si>
    <t>Supresso GC Signature Blend RB 500g Bag</t>
  </si>
  <si>
    <t>FGD00378</t>
  </si>
  <si>
    <t>FGD00451</t>
  </si>
  <si>
    <t>Supresso Gift Set Mug</t>
  </si>
  <si>
    <t>FGD00450</t>
  </si>
  <si>
    <t>Supresso Gift Set V60 Dripper</t>
  </si>
  <si>
    <t>FGD00111</t>
  </si>
  <si>
    <t>Supresso Globus Five GC 1000g</t>
  </si>
  <si>
    <t>FGD00410</t>
  </si>
  <si>
    <t>FGD00110</t>
  </si>
  <si>
    <t>Supresso Globus Five GC 500g</t>
  </si>
  <si>
    <t>FGD00409</t>
  </si>
  <si>
    <t>FGD00113</t>
  </si>
  <si>
    <t>Supresso Globus Four GC 1000g</t>
  </si>
  <si>
    <t>FGD00412</t>
  </si>
  <si>
    <t>FGD00112</t>
  </si>
  <si>
    <t>Supresso Globus Four GC 500g</t>
  </si>
  <si>
    <t>FGD00411</t>
  </si>
  <si>
    <t>FGD00115</t>
  </si>
  <si>
    <t>Supresso Globus One GC 1000g</t>
  </si>
  <si>
    <t>FGD00414</t>
  </si>
  <si>
    <t>FGD00114</t>
  </si>
  <si>
    <t>Supresso Globus One GC 500g</t>
  </si>
  <si>
    <t>FGD00413</t>
  </si>
  <si>
    <t>FGD00117</t>
  </si>
  <si>
    <t>Supresso Globus Three GC 1000g</t>
  </si>
  <si>
    <t>FGD00416</t>
  </si>
  <si>
    <t>FGD00116</t>
  </si>
  <si>
    <t>Supresso Globus Three GC 500g</t>
  </si>
  <si>
    <t>FGD00415</t>
  </si>
  <si>
    <t>FGD00119</t>
  </si>
  <si>
    <t>Supresso Globus Two GC 1000g</t>
  </si>
  <si>
    <t>FGD00418</t>
  </si>
  <si>
    <t>FGD00118</t>
  </si>
  <si>
    <t>Supresso Globus Two GC 500g</t>
  </si>
  <si>
    <t>FGD00417</t>
  </si>
  <si>
    <t>FGD00340</t>
  </si>
  <si>
    <t>Supresso Instant Coffee Fine</t>
  </si>
  <si>
    <t>FGD00448</t>
  </si>
  <si>
    <t>Supresso Instant Coffee Fine 800g</t>
  </si>
  <si>
    <t>FGD00318</t>
  </si>
  <si>
    <t>Supresso Instant Coffee Fine Gold</t>
  </si>
  <si>
    <t>FGD00447</t>
  </si>
  <si>
    <t>Supresso Instant Coffee Fine Gold 800g</t>
  </si>
  <si>
    <t>FGD00615</t>
  </si>
  <si>
    <t>Supresso Instant Coffee Mix Luwak 2in1 B15</t>
  </si>
  <si>
    <t>FGD00616</t>
  </si>
  <si>
    <t>Supresso Instant Coffee Mix Luwak 3in1 B15</t>
  </si>
  <si>
    <t>FGD00619</t>
  </si>
  <si>
    <t>Supresso Instant Coffee Mix White Coffee Avocado B15</t>
  </si>
  <si>
    <t>FGD00620</t>
  </si>
  <si>
    <t>Supresso Instant Coffee Mix White Coffee Coconut B15</t>
  </si>
  <si>
    <t>FGD00617</t>
  </si>
  <si>
    <t>Supresso Instant Coffee Mix White Coffee Original B15</t>
  </si>
  <si>
    <t>FGD00618</t>
  </si>
  <si>
    <t>Supresso Instant Coffee Mix White Coffee Sugar Free B15</t>
  </si>
  <si>
    <t>FGD00126</t>
  </si>
  <si>
    <t>Supresso Primadonna Coffee Azalea RB 1000g</t>
  </si>
  <si>
    <t>FGD00125</t>
  </si>
  <si>
    <t>Supresso Primadonna Coffee Azalea RB 500g</t>
  </si>
  <si>
    <t>FGD00128</t>
  </si>
  <si>
    <t>Supresso Primadonna Coffee Eve RB 1000g</t>
  </si>
  <si>
    <t>FGD00127</t>
  </si>
  <si>
    <t>Supresso Primadonna Coffee Eve RB 500g</t>
  </si>
  <si>
    <t>FGD00130</t>
  </si>
  <si>
    <t>Supresso Primadonna Coffee Iris RB 1000g</t>
  </si>
  <si>
    <t>FGD00129</t>
  </si>
  <si>
    <t>Supresso Primadonna Coffee Iris RB 500g</t>
  </si>
  <si>
    <t>FGD00132</t>
  </si>
  <si>
    <t>Supresso Primadonna Coffee Lotus RB 1000g</t>
  </si>
  <si>
    <t>FGD00131</t>
  </si>
  <si>
    <t>Supresso Primadonna Coffee Lotus RB 500g</t>
  </si>
  <si>
    <t>FGD00135</t>
  </si>
  <si>
    <t>Supresso Primadonna Coffee Peony RB 1000g</t>
  </si>
  <si>
    <t>FGD00133</t>
  </si>
  <si>
    <t>Supresso Primadonna Coffee Peony RB 200g</t>
  </si>
  <si>
    <t>FGD00134</t>
  </si>
  <si>
    <t>Supresso Primadonna Coffee Peony RB 500g</t>
  </si>
  <si>
    <t>FGD00264</t>
  </si>
  <si>
    <t>UCafe Instant Coffee Mix Original R10</t>
  </si>
  <si>
    <t>FGD00265</t>
  </si>
  <si>
    <t>UCafe Instant Coffee Mix Original R10: 2Bks + 1Bks</t>
  </si>
  <si>
    <t>FGD00271</t>
  </si>
  <si>
    <t>UCafe Instant Coffee Mix Vanilla Latte R10</t>
  </si>
  <si>
    <t>FGD00272</t>
  </si>
  <si>
    <t>UCafe Instant Coffee Mix Vanilla Latte R10: 2Bks + 1Bks</t>
  </si>
  <si>
    <t>FGD00278</t>
  </si>
  <si>
    <t>Tugu Buaya Special 60g: 5Bks + 1Gls</t>
  </si>
  <si>
    <t>FGD00279</t>
  </si>
  <si>
    <t>Rasa Sayang Kopi Bali 200g: 1Bks + 1Gls</t>
  </si>
  <si>
    <t>FGD00280</t>
  </si>
  <si>
    <t>Rasa Sayang Kopi Bali 200g: 1Bks + 1Prg</t>
  </si>
  <si>
    <t>FGD00281</t>
  </si>
  <si>
    <t>Bro Choco Banana R10: 5Bks + 1Bks</t>
  </si>
  <si>
    <t>FGD00282</t>
  </si>
  <si>
    <t>Bro Choco Original R10: 5Bks + 1Bks</t>
  </si>
  <si>
    <t>FGD00283</t>
  </si>
  <si>
    <t>Tugu Buaya 12g B30: 1Ball + 1Tumbler</t>
  </si>
  <si>
    <t>FGD00284</t>
  </si>
  <si>
    <t>Rasa Sayang Tempo Doeloe 30g: 1Rtg + 1Tumbler</t>
  </si>
  <si>
    <t>FGD00285</t>
  </si>
  <si>
    <t>Rasa Sayang Tempo Doeloe 60g: 1Bks + 1Tumbler</t>
  </si>
  <si>
    <t>FGD00286</t>
  </si>
  <si>
    <t>Uang Emas Special 10g: 2Rtg + 1Prg</t>
  </si>
  <si>
    <t>FGD00300</t>
  </si>
  <si>
    <t>Rasa Sayang Kopi Bali 40g: 1Rtg + 1Gls</t>
  </si>
  <si>
    <t>FGD00150</t>
  </si>
  <si>
    <t>Supresso SO Aceh Gayo 10 Capsules x 6g Box</t>
  </si>
  <si>
    <t>FGD00572</t>
  </si>
  <si>
    <t>Supresso SO Aceh Gayo 10 Capsules x 6g Box: 1Box + 1Box</t>
  </si>
  <si>
    <t>FGD00605</t>
  </si>
  <si>
    <t>Supresso SO Aceh Gayo Drip 30 Sachets x 10g Bag</t>
  </si>
  <si>
    <t>BAG6</t>
  </si>
  <si>
    <t>FGD00151</t>
  </si>
  <si>
    <t>Supresso SO Aceh Gayo Drip 5 Sachets x 10g Box</t>
  </si>
  <si>
    <t>FGD00299</t>
  </si>
  <si>
    <t>Supresso SO Aceh Gayo GC 200g Can</t>
  </si>
  <si>
    <t>FGD00304</t>
  </si>
  <si>
    <t>Supresso SO Aceh Gayo RB 1000g Bag</t>
  </si>
  <si>
    <t>FGD00382</t>
  </si>
  <si>
    <t>FGD00152</t>
  </si>
  <si>
    <t>Supresso SO Aceh Gayo RB 200g Can</t>
  </si>
  <si>
    <t>FGD00396</t>
  </si>
  <si>
    <t>FGD00153</t>
  </si>
  <si>
    <t>Supresso SO Aceh Gayo RB 250g Bag</t>
  </si>
  <si>
    <t>FGD00154</t>
  </si>
  <si>
    <t>Supresso SO Aceh Gayo RB 500g Bag</t>
  </si>
  <si>
    <t>FGD00381</t>
  </si>
  <si>
    <t>FGD00485</t>
  </si>
  <si>
    <t>Supresso SO Assorted Drip 10 Sachets x 10g Box</t>
  </si>
  <si>
    <t>FGD00155</t>
  </si>
  <si>
    <t>Supresso SO Bali Kintamani 10 Capsules x 6g Box</t>
  </si>
  <si>
    <t>FGD00573</t>
  </si>
  <si>
    <t>Supresso SO Bali Kintamani 10 Capsules x 6g Box: 1Box + 1Box</t>
  </si>
  <si>
    <t>FGD00606</t>
  </si>
  <si>
    <t>Supresso SO Bali Kintamani Drip 30 Sachets x 10g Bag</t>
  </si>
  <si>
    <t>FGD00156</t>
  </si>
  <si>
    <t>Supresso SO Bali Kintamani Drip 5 Sachets x 10g Box</t>
  </si>
  <si>
    <t>FGD00157</t>
  </si>
  <si>
    <t>Supresso SO Bali Kintamani GC 200g Box</t>
  </si>
  <si>
    <t>FGD00290</t>
  </si>
  <si>
    <t>Supresso SO Bali Kintamani GC 200g Can</t>
  </si>
  <si>
    <t>FGD00434</t>
  </si>
  <si>
    <t>Supresso SO Bali Kintamani GC 250g Bag</t>
  </si>
  <si>
    <t>FGD00325</t>
  </si>
  <si>
    <t>Supresso SO Bali kintamani RB 1000g Bag</t>
  </si>
  <si>
    <t>FGD00384</t>
  </si>
  <si>
    <t>Supresso SO Bali Kintamani RB 1000g Bag</t>
  </si>
  <si>
    <t>FGD00158</t>
  </si>
  <si>
    <t>Supresso SO Bali Kintamani RB 200g Can</t>
  </si>
  <si>
    <t>FGD00397</t>
  </si>
  <si>
    <t>FGD00159</t>
  </si>
  <si>
    <t>Supresso SO Bali Kintamani RB 250g Bag</t>
  </si>
  <si>
    <t>FGD00160</t>
  </si>
  <si>
    <t>Supresso SO Bali Kintamani RB 500g Bag</t>
  </si>
  <si>
    <t>FGD00383</t>
  </si>
  <si>
    <t>FGD00161</t>
  </si>
  <si>
    <t>Supresso SO Flores Bajawa 10 Capsules x 6g Box</t>
  </si>
  <si>
    <t>FGD00574</t>
  </si>
  <si>
    <t>Supresso SO Flores Bajawa 10 Capsules x 6g Box: 1Box + 1Box</t>
  </si>
  <si>
    <t>FGD00607</t>
  </si>
  <si>
    <t>Supresso SO Flores bajawa Drip 30 Sachets x 10g Bag</t>
  </si>
  <si>
    <t>FGD00162</t>
  </si>
  <si>
    <t>Supresso SO Flores Bajawa Drip 5 Sachets x 10g Box</t>
  </si>
  <si>
    <t>FGD00292</t>
  </si>
  <si>
    <t>Supresso SO Flores Bajawa GC 200g Can</t>
  </si>
  <si>
    <t>FGD00326</t>
  </si>
  <si>
    <t>Supresso SO Flores Bajawa RB 1000g Bag</t>
  </si>
  <si>
    <t>FGD00386</t>
  </si>
  <si>
    <t>FGD00163</t>
  </si>
  <si>
    <t>Supresso SO Flores Bajawa RB 200g Can</t>
  </si>
  <si>
    <t>FGD00398</t>
  </si>
  <si>
    <t>FGD00164</t>
  </si>
  <si>
    <t>Supresso SO Flores Bajawa RB 250g Bag</t>
  </si>
  <si>
    <t>FGD00165</t>
  </si>
  <si>
    <t>Supresso SO Flores Bajawa RB 500g Bag</t>
  </si>
  <si>
    <t>FGD00385</t>
  </si>
  <si>
    <t>FGD00166</t>
  </si>
  <si>
    <t>Supresso SO Java 10 Capsules x 6g Box</t>
  </si>
  <si>
    <t>FGD00575</t>
  </si>
  <si>
    <t>Supresso SO Java 10 Capsules x 6g Box: 1Box + 1Box</t>
  </si>
  <si>
    <t>FGD00608</t>
  </si>
  <si>
    <t>Supresso SO Java Drip 30 Sachets x 10g Bag</t>
  </si>
  <si>
    <t>FGD00167</t>
  </si>
  <si>
    <t>Supresso SO Java Drip 5 Sachets x 10g Box</t>
  </si>
  <si>
    <t>FGD00430</t>
  </si>
  <si>
    <t>Supresso SO Java GC 250g Bag</t>
  </si>
  <si>
    <t>FGD00306</t>
  </si>
  <si>
    <t>Supresso SO Java RB 200g Can</t>
  </si>
  <si>
    <t>FGD00399</t>
  </si>
  <si>
    <t>FGD00168</t>
  </si>
  <si>
    <t>Supresso SO Lampung 10 Capsules x 6g Box</t>
  </si>
  <si>
    <t>FGD00576</t>
  </si>
  <si>
    <t>Supresso SO Lampung 10 Capsules x 6g Box: 1Box + 1Box</t>
  </si>
  <si>
    <t>FGD00609</t>
  </si>
  <si>
    <t>Supresso SO Lampung Drip 30 Sachets x 10g Bag</t>
  </si>
  <si>
    <t>FGD00169</t>
  </si>
  <si>
    <t>Supresso SO Lampung Drip 5 Sachets x 10g Box</t>
  </si>
  <si>
    <t>FGD00170</t>
  </si>
  <si>
    <t>Supresso SO Lampung GC 200g Box</t>
  </si>
  <si>
    <t>FGD00433</t>
  </si>
  <si>
    <t>Supresso SO Lampung GC 250g Bag</t>
  </si>
  <si>
    <t>FGD00303</t>
  </si>
  <si>
    <t>Supresso SO Lampung RB 1000g Bag</t>
  </si>
  <si>
    <t>FGD00388</t>
  </si>
  <si>
    <t>FGD00171</t>
  </si>
  <si>
    <t>Supresso SO Lampung RB 200g Can</t>
  </si>
  <si>
    <t>FGD00400</t>
  </si>
  <si>
    <t>FGD00172</t>
  </si>
  <si>
    <t>Supresso SO Lampung RB 250g Bag</t>
  </si>
  <si>
    <t>FGD00173</t>
  </si>
  <si>
    <t>Supresso SO Lampung RB 500g Bag</t>
  </si>
  <si>
    <t>FGD00387</t>
  </si>
  <si>
    <t>FGD00174</t>
  </si>
  <si>
    <t>Supresso SO Manglayang 10 Capsules x 6g Box</t>
  </si>
  <si>
    <t>FGD00577</t>
  </si>
  <si>
    <t>Supresso SO Manglayang 10 Capsules x 6g Box: 1Box + 1Box</t>
  </si>
  <si>
    <t>FGD00610</t>
  </si>
  <si>
    <t>Supresso SO Manglayang Drip 30 Sachets x 10g Bag</t>
  </si>
  <si>
    <t>FGD00175</t>
  </si>
  <si>
    <t>Supresso SO Manglayang Drip 5 Sachets x 10g Box</t>
  </si>
  <si>
    <t>FGD00310</t>
  </si>
  <si>
    <t>Supresso SO Manglayang RB 200g Can</t>
  </si>
  <si>
    <t>FGD00401</t>
  </si>
  <si>
    <t>FGD00311</t>
  </si>
  <si>
    <t>Supresso SO Mix 10 Capsules x 6g Box</t>
  </si>
  <si>
    <t>BOX56</t>
  </si>
  <si>
    <t>FGD00555</t>
  </si>
  <si>
    <t>Supresso SO Mix 10 Capsules x 6g Box: 1Box + 1Box GC Mix</t>
  </si>
  <si>
    <t>FGD00176</t>
  </si>
  <si>
    <t>Supresso SO Papua RB 200g Can</t>
  </si>
  <si>
    <t>FGD00177</t>
  </si>
  <si>
    <t>Supresso SO Papua RB 250g Bag</t>
  </si>
  <si>
    <t>FGD00178</t>
  </si>
  <si>
    <t>Supresso SO Papua RB 500g Bag</t>
  </si>
  <si>
    <t>FGD00185</t>
  </si>
  <si>
    <t>Supresso SO Sumatra Mandheling 10 Capsules x 6g Box</t>
  </si>
  <si>
    <t>FGD00578</t>
  </si>
  <si>
    <t>Supresso SO Sumatra Mandheling 10 Capsules x 6g Box: 1Box + 1Box</t>
  </si>
  <si>
    <t>FGD00611</t>
  </si>
  <si>
    <t>Supresso SO Sumatra Mandheling Drip 30 Sachets x 10g Bag</t>
  </si>
  <si>
    <t>FGD00186</t>
  </si>
  <si>
    <t>Supresso SO Sumatra Mandheling Drip 5 Sachets x 10g Box</t>
  </si>
  <si>
    <t>FGD00187</t>
  </si>
  <si>
    <t>Supresso SO Sumatra Mandheling GC 200g Box</t>
  </si>
  <si>
    <t>FGD00296</t>
  </si>
  <si>
    <t>Supresso SO Sumatra Mandheling GC 200g Can</t>
  </si>
  <si>
    <t>FGD00431</t>
  </si>
  <si>
    <t>Supresso SO Sumatra Mandheling GC 250g Bag</t>
  </si>
  <si>
    <t>FGD00327</t>
  </si>
  <si>
    <t>Supresso SO Sumatra Mandheling RB 1000g Bag</t>
  </si>
  <si>
    <t>FGD00391</t>
  </si>
  <si>
    <t>FGD00188</t>
  </si>
  <si>
    <t>Supresso SO Sumatra Mandheling RB 200g Can</t>
  </si>
  <si>
    <t>FGD00403</t>
  </si>
  <si>
    <t>FGD00189</t>
  </si>
  <si>
    <t>Supresso SO Sumatra Mandheling RB 250g Bag</t>
  </si>
  <si>
    <t>FGD00190</t>
  </si>
  <si>
    <t>Supresso SO Sumatra Mandheling RB 500g Bag</t>
  </si>
  <si>
    <t>FGD00390</t>
  </si>
  <si>
    <t>FGD00191</t>
  </si>
  <si>
    <t>Supresso SO Toraja Kalosi 10 Capsules x 6g Box</t>
  </si>
  <si>
    <t>FGD00579</t>
  </si>
  <si>
    <t>Supresso SO Toraja Kalosi 10 Capsules x 6g Box: 1Box + 1Box</t>
  </si>
  <si>
    <t>FGD00612</t>
  </si>
  <si>
    <t>Supresso SO Toraja Kalosi Drip 30 Sachets x 10g Bag</t>
  </si>
  <si>
    <t>FGD00192</t>
  </si>
  <si>
    <t>Supresso SO Toraja Kalosi Drip 5 Sachets x 10g Box</t>
  </si>
  <si>
    <t>FGD00193</t>
  </si>
  <si>
    <t>Supresso SO Toraja Kalosi GC 200g Box</t>
  </si>
  <si>
    <t>FGD00298</t>
  </si>
  <si>
    <t>Supresso SO Toraja Kalosi GC 200g Can</t>
  </si>
  <si>
    <t>FGD00432</t>
  </si>
  <si>
    <t>Supresso SO Toraja Kalosi GC 250g Bag</t>
  </si>
  <si>
    <t>FGD00305</t>
  </si>
  <si>
    <t>Supresso SO Toraja Kalosi RB 1000g Bag</t>
  </si>
  <si>
    <t>FGD00393</t>
  </si>
  <si>
    <t>FGD00194</t>
  </si>
  <si>
    <t>Supresso SO Toraja Kalosi RB 200g Can</t>
  </si>
  <si>
    <t>FGD00404</t>
  </si>
  <si>
    <t>FGD00195</t>
  </si>
  <si>
    <t>Supresso SO Toraja Kalosi RB 250g Bag</t>
  </si>
  <si>
    <t>FGD00196</t>
  </si>
  <si>
    <t>Supresso SO Toraja Kalosi RB 500g Bag</t>
  </si>
  <si>
    <t>FGD00392</t>
  </si>
  <si>
    <t>FGD00197</t>
  </si>
  <si>
    <t>Supresso SO West Java 10 Capsules x 6g Box</t>
  </si>
  <si>
    <t>FGD00580</t>
  </si>
  <si>
    <t>Supresso SO West Java 10 Capsules x 6g Box: 1Box + 1Box</t>
  </si>
  <si>
    <t>FGD00613</t>
  </si>
  <si>
    <t>Supresso SO West java Drip 30 Sachets x 10g Bag</t>
  </si>
  <si>
    <t>FGD00198</t>
  </si>
  <si>
    <t>Supresso SO West Java Drip 5 Sachets x 10g Box</t>
  </si>
  <si>
    <t>FGD00289</t>
  </si>
  <si>
    <t>Supresso SO West Java RB  200g Can</t>
  </si>
  <si>
    <t>FGD00406</t>
  </si>
  <si>
    <t>Supresso SO West Java RB 1000g Bag</t>
  </si>
  <si>
    <t>FGD00405</t>
  </si>
  <si>
    <t>Supresso SO West Java RB 200g Can</t>
  </si>
  <si>
    <t>FGD00644</t>
  </si>
  <si>
    <t>Supresso Strawberry Latte B10</t>
  </si>
  <si>
    <t>FGD00293</t>
  </si>
  <si>
    <t>Supresso TC Java Arabica Organic GC 200g Can</t>
  </si>
  <si>
    <t>FGD00324</t>
  </si>
  <si>
    <t>Supresso TC Java Arabica Organic RB 1000g Bag</t>
  </si>
  <si>
    <t>FGD00380</t>
  </si>
  <si>
    <t>FGD00120</t>
  </si>
  <si>
    <t>Supresso TC Java Arabica Organic RB 200g Can</t>
  </si>
  <si>
    <t>FGD00479</t>
  </si>
  <si>
    <t>FGD00121</t>
  </si>
  <si>
    <t>Supresso TC Java Arabica Organic RB 250g Bag</t>
  </si>
  <si>
    <t>FGD00122</t>
  </si>
  <si>
    <t>Supresso TC Luwak Prestige Arabica 10 Capsules x 6g Box</t>
  </si>
  <si>
    <t>FGD00581</t>
  </si>
  <si>
    <t>Supresso TC Luwak Prestige Arabica 10 Capsules x 6g Box: 1Box + 1Box</t>
  </si>
  <si>
    <t>FGD00590</t>
  </si>
  <si>
    <t>Supresso TC Luwak Prestige Arabica Drip 10 Sachets x 10g Box</t>
  </si>
  <si>
    <t>BoxBNS</t>
  </si>
  <si>
    <t>BOX10</t>
  </si>
  <si>
    <t>FGD00123</t>
  </si>
  <si>
    <t>Supresso TC Luwak Prestige Arabica Drip 5 Sachets x 10g Box</t>
  </si>
  <si>
    <t>FGD00294</t>
  </si>
  <si>
    <t>Supresso TC Luwak Prestige Arabica GC 100g Can</t>
  </si>
  <si>
    <t>FGD00486</t>
  </si>
  <si>
    <t>FGD00482</t>
  </si>
  <si>
    <t>Supresso TC Luwak Prestige Arabica RB 1000g Bag</t>
  </si>
  <si>
    <t>FGD00124</t>
  </si>
  <si>
    <t>Supresso TC Luwak Prestige Arabica RB 100g Can</t>
  </si>
  <si>
    <t>FGD00480</t>
  </si>
  <si>
    <t>FGD00556</t>
  </si>
  <si>
    <t>Supresso TC Luwak Prestige Arabica RB 500g Bag</t>
  </si>
  <si>
    <t>FGD00179</t>
  </si>
  <si>
    <t>Supresso TC Peaberry 10 Capsules x 6g Box</t>
  </si>
  <si>
    <t>FGD00582</t>
  </si>
  <si>
    <t>Supresso TC Peaberry 10 Capsules x 6g Box: 1Box + 1Box</t>
  </si>
  <si>
    <t>FGD00180</t>
  </si>
  <si>
    <t>Supresso TC Peaberry Drip 5 Sachets x 10g Box</t>
  </si>
  <si>
    <t>FGD00181</t>
  </si>
  <si>
    <t>Supresso TC Peaberry GC 200g Box</t>
  </si>
  <si>
    <t>FGD00295</t>
  </si>
  <si>
    <t>Supresso TC Peaberry GC 200g Can</t>
  </si>
  <si>
    <t>FGD00182</t>
  </si>
  <si>
    <t>Supresso TC Peaberry RB 200g Can</t>
  </si>
  <si>
    <t>FGD00402</t>
  </si>
  <si>
    <t>FGD00183</t>
  </si>
  <si>
    <t>Supresso TC Peaberry RB 250g Bag</t>
  </si>
  <si>
    <t>FGD00184</t>
  </si>
  <si>
    <t>Supresso TC Peaberry RB 500g Bag</t>
  </si>
  <si>
    <t>FGD00389</t>
  </si>
  <si>
    <t>FGD00297</t>
  </si>
  <si>
    <t>Supresso TC Sumatra Mandheling Rainforest GC 200g Can</t>
  </si>
  <si>
    <t>FGD00199</t>
  </si>
  <si>
    <t>Supresso TC Sumatra Mandheling Rainforest RB 200g Can</t>
  </si>
  <si>
    <t>FGD00481</t>
  </si>
  <si>
    <t>FGD00200</t>
  </si>
  <si>
    <t>Supresso TC Sumatra Mandheling Rainforest RB 250g Bag</t>
  </si>
  <si>
    <t>FGD00645</t>
  </si>
  <si>
    <t>Supresso Tiramisu Latte B10</t>
  </si>
  <si>
    <t>FGD00588</t>
  </si>
  <si>
    <t>Supresso UCafe Instant Coffee Fine 2g P60</t>
  </si>
  <si>
    <t>FGD00525</t>
  </si>
  <si>
    <t>Supresso UCafe Instant Coffee Mix 2 In 1 Coffee Creamer B15</t>
  </si>
  <si>
    <t>FGD00524</t>
  </si>
  <si>
    <t>Supresso UCafe Instant Coffee Mix Cappuccino No Sugar Added B15</t>
  </si>
  <si>
    <t>FGD00201</t>
  </si>
  <si>
    <t>Supresso WB Brazilia Drip 5 Sachets x 10g Box</t>
  </si>
  <si>
    <t>FGD00202</t>
  </si>
  <si>
    <t>Supresso WB Costa Rica Drip 5 Sachets x 10g Box</t>
  </si>
  <si>
    <t>FGD00203</t>
  </si>
  <si>
    <t>Supresso WB Nanyang Coffee Drip 5 Sachets x 10g Box</t>
  </si>
  <si>
    <t>FGD00647</t>
  </si>
  <si>
    <t>Supresso White Coffee Avocado B10</t>
  </si>
  <si>
    <t>FGD00646</t>
  </si>
  <si>
    <t>Supresso White Coffee Coconut B10</t>
  </si>
  <si>
    <t>FGD00301</t>
  </si>
  <si>
    <t>Rasa Sayang Kopi Bali 80g: 1Rtg + 2Gls</t>
  </si>
  <si>
    <t>FGD00302</t>
  </si>
  <si>
    <t>Rasa Sayang Kopi Jahe R10: 1Rtg + 1Tumbler</t>
  </si>
  <si>
    <t>FGD00307</t>
  </si>
  <si>
    <t>Rasa Sayang Tempo Doeloe 250g: 1Bks + 1Bks Bro Choco</t>
  </si>
  <si>
    <t>FGD00308</t>
  </si>
  <si>
    <t>Tugu Buaya Special 450g: 1Bks + 1Tumbler</t>
  </si>
  <si>
    <t>FGD00309</t>
  </si>
  <si>
    <t>Rasa Sayang SQ 60g: 5bks + 1Gls tangkai</t>
  </si>
  <si>
    <t>FGD00316</t>
  </si>
  <si>
    <t>Kopi Vietnam RB 20g</t>
  </si>
  <si>
    <t>FGD00548</t>
  </si>
  <si>
    <t>Tugu Buaya 12g P30</t>
  </si>
  <si>
    <t>FGD00552</t>
  </si>
  <si>
    <t>Tugu Buaya 12g P30: 1Bag + 3Sendok</t>
  </si>
  <si>
    <t>FGD00317</t>
  </si>
  <si>
    <t>Premix Vanilla 10g</t>
  </si>
  <si>
    <t>FGD00319</t>
  </si>
  <si>
    <t>UCafe Instant Coffee Mix Cappuccino R10: 1 Rtg + 1 Tumbler</t>
  </si>
  <si>
    <t>FGD00320</t>
  </si>
  <si>
    <t>UCafe Instant Coffee Mix Hazelnut R10: 1 Rtg + 1 Tumbler</t>
  </si>
  <si>
    <t>FGD00321</t>
  </si>
  <si>
    <t>UCafe Instant Coffee Mix Mochaccino R10: 1 Rtg + 1 Tumbler</t>
  </si>
  <si>
    <t>FGD00425</t>
  </si>
  <si>
    <t>Tugu Buaya Kopi Jahe P10</t>
  </si>
  <si>
    <t>FGD00322</t>
  </si>
  <si>
    <t>UCafe Instant Coffee Mix Original R10: 1 Rtg + 1 Tumbler</t>
  </si>
  <si>
    <t>FGD00323</t>
  </si>
  <si>
    <t>UCafe Instant Coffee Mix Vanilla Latte R10: 1 Rtg + 1 Tumbler</t>
  </si>
  <si>
    <t>FGD00328</t>
  </si>
  <si>
    <t>Tugu Buaya Special 185g: 2Bks + 1Gls</t>
  </si>
  <si>
    <t>FGD00407</t>
  </si>
  <si>
    <t>Tugu Buaya Mocca P10</t>
  </si>
  <si>
    <t>FGD00329</t>
  </si>
  <si>
    <t>Uang Emas Special 60g: 5Bks + 1Gls Tumbler</t>
  </si>
  <si>
    <t>FGD00342</t>
  </si>
  <si>
    <t>Rasa Sayang Gold 65g: 2Bks + 1Tumbler</t>
  </si>
  <si>
    <t>FGD00343</t>
  </si>
  <si>
    <t>Rasa Sayang Gold 165g: 2Bks + 1Gls</t>
  </si>
  <si>
    <t>FGD00344</t>
  </si>
  <si>
    <t>FGD00345</t>
  </si>
  <si>
    <t>Rasa Sayang Tempo Doeloe 60g: 1Rtg + 1Tumbler</t>
  </si>
  <si>
    <t>FGD00346</t>
  </si>
  <si>
    <t>Rasa Sayang Tempo Doeloe 250g: 1Bks + 1Gls</t>
  </si>
  <si>
    <t>FGD00347</t>
  </si>
  <si>
    <t>Uang Emas 200g: 1Bks + 1Prg</t>
  </si>
  <si>
    <t>FGD00348</t>
  </si>
  <si>
    <t>Rasa Sayang Tempo Doeloe 60g: 5Bks + 1Tumbler</t>
  </si>
  <si>
    <t>FGD00349</t>
  </si>
  <si>
    <t>Uang Emas Special 380g: 1Bag + 1Gls</t>
  </si>
  <si>
    <t>FGD00356</t>
  </si>
  <si>
    <t>Tugu Buaya Special 60g: 2Bks + 1Tumbler</t>
  </si>
  <si>
    <t>FGD00357</t>
  </si>
  <si>
    <t>Tugu Buaya Special 450g: 1Bag + 1Gls</t>
  </si>
  <si>
    <t>FGD00208</t>
  </si>
  <si>
    <t>Tugu Buaya Special 1kg Tuper</t>
  </si>
  <si>
    <t>PCS6</t>
  </si>
  <si>
    <t>FGD00358</t>
  </si>
  <si>
    <t>Uang Emas Special 10g: 2Rtg + 1Tumbler</t>
  </si>
  <si>
    <t>FGD00597</t>
  </si>
  <si>
    <t>Tugu Buaya Special 350g</t>
  </si>
  <si>
    <t>FGD00600</t>
  </si>
  <si>
    <t>Tugu Buaya Special 350g : 1Bks + 1Gls</t>
  </si>
  <si>
    <t>FGD00512</t>
  </si>
  <si>
    <t>Tugu Buaya Special 380g</t>
  </si>
  <si>
    <t>FGD00551</t>
  </si>
  <si>
    <t>Tugu Buaya Special 380g: 1Bks + 1Gls</t>
  </si>
  <si>
    <t>FGD00365</t>
  </si>
  <si>
    <t>UCafe Pure Coffee Special 7g R10</t>
  </si>
  <si>
    <t>FGD00469</t>
  </si>
  <si>
    <t>FGD00367</t>
  </si>
  <si>
    <t>UCafe Pure Coffee Special 150g</t>
  </si>
  <si>
    <t>FGD00491</t>
  </si>
  <si>
    <t>FGD00369</t>
  </si>
  <si>
    <t>Uang Emas Special 135g: 2Bks + 1Gls</t>
  </si>
  <si>
    <t>FGD00209</t>
  </si>
  <si>
    <t>Tugu Buaya Special 600g Tuper</t>
  </si>
  <si>
    <t>FGD00394</t>
  </si>
  <si>
    <t>Rasa Sayang Tempo Doeloe 60g: 2Bks + 1Tumbler</t>
  </si>
  <si>
    <t>FGD00395</t>
  </si>
  <si>
    <t>Uang Emas Special 30g: 2Rtg + 1Prg</t>
  </si>
  <si>
    <t>FGD00419</t>
  </si>
  <si>
    <t>Uang Emas Special 30g: 2Rtg + 1Gls</t>
  </si>
  <si>
    <t>FGD00422</t>
  </si>
  <si>
    <t>UCafe Pure Coffee Special 7g R10: 2Rtg + 1Tumbler</t>
  </si>
  <si>
    <t>FGD00424</t>
  </si>
  <si>
    <t>UCafe Pure Coffee Special 150g: 1Bag + 1Tumbler</t>
  </si>
  <si>
    <t>FGD00426</t>
  </si>
  <si>
    <t>Tugu Buaya Special Mix P10</t>
  </si>
  <si>
    <t>FGD00442</t>
  </si>
  <si>
    <t>Tugu Buaya Special Mix P10: 5Bks + 1Bks</t>
  </si>
  <si>
    <t>FGD00443</t>
  </si>
  <si>
    <t>Jaheku Jahe Gula Aren R10: 1Rtg + 1Gls</t>
  </si>
  <si>
    <t>FGD00444</t>
  </si>
  <si>
    <t>Jaheku Jahe Madu R10: 1Rtg + 1Gls</t>
  </si>
  <si>
    <t>FGD00449</t>
  </si>
  <si>
    <t>Uang Emas Special 135g: 3Bks + 1Gls</t>
  </si>
  <si>
    <t>FGD00495</t>
  </si>
  <si>
    <t>Rasa Sayang Tempo Doeloe 165g: 1Bks + 1Gls</t>
  </si>
  <si>
    <t>FGD00625</t>
  </si>
  <si>
    <t>Tugu Buaya SQ 250g: 1Bks + 1Prg</t>
  </si>
  <si>
    <t>FGD00408</t>
  </si>
  <si>
    <t>Tugu Buaya Susu P10</t>
  </si>
  <si>
    <t>FGD00496</t>
  </si>
  <si>
    <t>Tugu Buaya 12g: B30 + 1Bks Tugu Buaya Mocca</t>
  </si>
  <si>
    <t>FGD00502</t>
  </si>
  <si>
    <t>Rasa Sayang Tempo Doeloe 250g: 1Bks + 1Gls tangkai</t>
  </si>
  <si>
    <t>FGD00504</t>
  </si>
  <si>
    <t>Rasa Sayang SP Bintang 60g</t>
  </si>
  <si>
    <t>FGD00505</t>
  </si>
  <si>
    <t>Rasa Sayang SQ Gold 165g</t>
  </si>
  <si>
    <t>FGD00507</t>
  </si>
  <si>
    <t>Uang Emas Special 30g: 1Rtg + 1Prg</t>
  </si>
  <si>
    <t>FGD00508</t>
  </si>
  <si>
    <t>Uang Emas Special 60g: 2Bks + 1Bks</t>
  </si>
  <si>
    <t>SACHET75</t>
  </si>
  <si>
    <t>FGD00509</t>
  </si>
  <si>
    <t>Uang Emas Special 10g: 2Bks + 1Bks</t>
  </si>
  <si>
    <t>SACHET300R</t>
  </si>
  <si>
    <t>FGD00510</t>
  </si>
  <si>
    <t>Tugu Buaya Special 185g: 1Bks + 1Gls</t>
  </si>
  <si>
    <t>FGD00511</t>
  </si>
  <si>
    <t>Tugu Buaya Special 185g: 1Bks + 1Mug</t>
  </si>
  <si>
    <t>FGD00513</t>
  </si>
  <si>
    <t>Rasa Sayang Coffee Mix R15</t>
  </si>
  <si>
    <t>RencengBNS</t>
  </si>
  <si>
    <t>FGD00514</t>
  </si>
  <si>
    <t>Rasa Sayang SP Bintang 60g: 5Bks + 1Tuper</t>
  </si>
  <si>
    <t>FGD00517</t>
  </si>
  <si>
    <t>UCafe Instant Coffee Mix Cappuccino R15</t>
  </si>
  <si>
    <t>FGD00519</t>
  </si>
  <si>
    <t>IntiRasa Santan Bubuk Original R10: 5Bks + 1Bks</t>
  </si>
  <si>
    <t>SACHET144</t>
  </si>
  <si>
    <t>Santan</t>
  </si>
  <si>
    <t>Santan Bubuk</t>
  </si>
  <si>
    <t>Intirasa</t>
  </si>
  <si>
    <t>FGD00520</t>
  </si>
  <si>
    <t>Uang Emas Kopi Bro Kopi Gula Aren R15</t>
  </si>
  <si>
    <t>Kopi Bro</t>
  </si>
  <si>
    <t>FGD00521</t>
  </si>
  <si>
    <t>Uang Emas Kopi Bro Kopi Susu Gula Aren R15</t>
  </si>
  <si>
    <t>FGD00528</t>
  </si>
  <si>
    <t>Topten Special 10g: 1Bag + 1Sendok</t>
  </si>
  <si>
    <t>FGD00529</t>
  </si>
  <si>
    <t>Tugu Buaya Special Mix R10: 2Bks + 1Bks</t>
  </si>
  <si>
    <t>FGD00530</t>
  </si>
  <si>
    <t>Jaheku Jahe Gula Aren R10: 2Bks + 1Bks</t>
  </si>
  <si>
    <t>FGD00531</t>
  </si>
  <si>
    <t>Jaheku Jahe Madu R10: 2Bks + 1Bks</t>
  </si>
  <si>
    <t>FGD00532</t>
  </si>
  <si>
    <t>Bro Choco Banana R10: 2Bks + 1Bks</t>
  </si>
  <si>
    <t>FGD00533</t>
  </si>
  <si>
    <t>Bro Choco Original R10: 2Bks + 1Bks</t>
  </si>
  <si>
    <t>FGD00534</t>
  </si>
  <si>
    <t>Uang Emas Special 7g: 2Bks + 1Bks</t>
  </si>
  <si>
    <t>FGD00535</t>
  </si>
  <si>
    <t>Uang Emas Special 7g</t>
  </si>
  <si>
    <t>FGD00536</t>
  </si>
  <si>
    <t>Tugu Buaya Mocca R10: 2Bks + 1Bks</t>
  </si>
  <si>
    <t>FGD00537</t>
  </si>
  <si>
    <t>Tugu Buaya Susu R10: 2Bks + 1Bks</t>
  </si>
  <si>
    <t>FGD00538</t>
  </si>
  <si>
    <t>Tugu Buaya Kopi Jahe R10: 2Bks + 1Bks</t>
  </si>
  <si>
    <t>FGD00539</t>
  </si>
  <si>
    <t>Tugu Buaya Special Mix R10: 2Rtg + 1Rtg</t>
  </si>
  <si>
    <t>FGD00540</t>
  </si>
  <si>
    <t>Tugu Buaya Kopi Jahe R10: 2Rtg + 1Rtg</t>
  </si>
  <si>
    <t>FGD00541</t>
  </si>
  <si>
    <t>Tugu Buaya Mocca R10: 2Rtg + 1Rtg</t>
  </si>
  <si>
    <t>FGD00542</t>
  </si>
  <si>
    <t>Tugu Buaya Susu R10: 2Rtg + 1Rtg</t>
  </si>
  <si>
    <t>FGD00503</t>
  </si>
  <si>
    <t>Uang Emas Special 1kg</t>
  </si>
  <si>
    <t>FGD00622</t>
  </si>
  <si>
    <t>Uang Emas Special 1kg: 2Karton + 1Kaos</t>
  </si>
  <si>
    <t>FGD00543</t>
  </si>
  <si>
    <t>Bro Choco Banana R10: 2Rtg + 1Rtg</t>
  </si>
  <si>
    <t>FGD00544</t>
  </si>
  <si>
    <t>Bro Choco Original R10: 2Rtg + 1Rtg</t>
  </si>
  <si>
    <t>FGD00545</t>
  </si>
  <si>
    <t>Jaheku Jahe Gula Aren R10: 2Rtg + 1Rtg</t>
  </si>
  <si>
    <t>FGD00546</t>
  </si>
  <si>
    <t>Jaheku Jahe Madu R10: 2Rtg + 1Rtg</t>
  </si>
  <si>
    <t>FGD00564</t>
  </si>
  <si>
    <t>Uang Emas Special 350g</t>
  </si>
  <si>
    <t>FGD00565</t>
  </si>
  <si>
    <t>Uang Emas Special 350g: 1Bag + 1Gls</t>
  </si>
  <si>
    <t>FGD00547</t>
  </si>
  <si>
    <t>Tugu Buaya Special 160g</t>
  </si>
  <si>
    <t>FGD00467</t>
  </si>
  <si>
    <t>FGD00549</t>
  </si>
  <si>
    <t>Rasa Sayang Tempo Doeloe 60g..</t>
  </si>
  <si>
    <t>GSK</t>
  </si>
  <si>
    <t>FGD00483</t>
  </si>
  <si>
    <t>FGD00550</t>
  </si>
  <si>
    <t>Rasa Sayang Tempo Doeloe 165g..</t>
  </si>
  <si>
    <t>FGD00234</t>
  </si>
  <si>
    <t>Uang Emas Special 5kg @1kg</t>
  </si>
  <si>
    <t>FGD00468</t>
  </si>
  <si>
    <t>FGD00235</t>
  </si>
  <si>
    <t>Uang Emas Special 600g Tuper</t>
  </si>
  <si>
    <t>FGD00421</t>
  </si>
  <si>
    <t>Uang Emas Special 600g Tuper: 1Tuper + 1Bks Bro Choco</t>
  </si>
  <si>
    <t>FGD00287</t>
  </si>
  <si>
    <t>Uang Emas Special 600g Tuper: 1Tuper + 1Bks Gula</t>
  </si>
  <si>
    <t>FGD00236</t>
  </si>
  <si>
    <t>Uang Emas Special 600g Tuper: 1Tuper + 1Prg</t>
  </si>
  <si>
    <t>FGD00288</t>
  </si>
  <si>
    <t>Uang Emas Special 600g Tuper: 1Tuper + 3Bks UE 10g</t>
  </si>
  <si>
    <t>FGD00554</t>
  </si>
  <si>
    <t>Rasa Sayang Gula R10: 2Rtg + 1Gls</t>
  </si>
  <si>
    <t>FGD00557</t>
  </si>
  <si>
    <t>UCafe Instant Coffee Mix Cappuccino R10: 20Karton + 1Karton</t>
  </si>
  <si>
    <t>FGD00558</t>
  </si>
  <si>
    <t>Rasa Sayang Tempo Doeloe 150g</t>
  </si>
  <si>
    <t>FGD00559</t>
  </si>
  <si>
    <t>Rasa Sayang Tempo Doeloe 200g</t>
  </si>
  <si>
    <t>FGD00560</t>
  </si>
  <si>
    <t>Rasa Sayang Tempo Doeloe 450g</t>
  </si>
  <si>
    <t>FGD00561</t>
  </si>
  <si>
    <t>Rasa Sayang Tempo Doeloe 150g: 1Bks + 1Gls</t>
  </si>
  <si>
    <t>FGD00562</t>
  </si>
  <si>
    <t>Tugu Buaya Special 160g: 2Bks + 1Gls</t>
  </si>
  <si>
    <t>FGD00584</t>
  </si>
  <si>
    <t>Uang Emas Special 120g</t>
  </si>
  <si>
    <t>FGD00585</t>
  </si>
  <si>
    <t>Uang Emas Special 120g: 3Bks + 1Gls</t>
  </si>
  <si>
    <t>FGD00589</t>
  </si>
  <si>
    <t>Uang Emas Special 120g: 2Bks + 1Gls</t>
  </si>
  <si>
    <t>FGD00563</t>
  </si>
  <si>
    <t>UCafe Instant Coffee Fine Blend</t>
  </si>
  <si>
    <t>FGD00238</t>
  </si>
  <si>
    <t>UCafe Instant Coffee Mix Cappuccino 5 Sachets x 25g Box</t>
  </si>
  <si>
    <t>FGD00241</t>
  </si>
  <si>
    <t>UCafe Instant Coffee Mix Cappuccino P10</t>
  </si>
  <si>
    <t>FGD00242</t>
  </si>
  <si>
    <t>UCafe Instant Coffee Mix Cappuccino P10*</t>
  </si>
  <si>
    <t>FGD00497</t>
  </si>
  <si>
    <t>UCafe Instant Coffee Mix Cappuccino P10: 1 Bag + 1 Tumbler</t>
  </si>
  <si>
    <t>FGD00330</t>
  </si>
  <si>
    <t>UCafe Instant Coffee Mix Cappuccino P30</t>
  </si>
  <si>
    <t>FGD00331</t>
  </si>
  <si>
    <t>UCafe Instant Coffee Mix Cappuccino P30*</t>
  </si>
  <si>
    <t>FGD00239</t>
  </si>
  <si>
    <t>UCafe Instant Coffee Mix Cappuccino P6</t>
  </si>
  <si>
    <t>FGD00240</t>
  </si>
  <si>
    <t>UCafe Instant Coffee Mix Cappuccino P6: 6Bks + 3Bks</t>
  </si>
  <si>
    <t>FGD00427</t>
  </si>
  <si>
    <t>UCafe Instant Coffee Mix Cappuccino P6: 6Bks + 3Bks, 2Bag + 1Tumbler</t>
  </si>
  <si>
    <t>FGD00591</t>
  </si>
  <si>
    <t>Uang Emas Special 60g: 1Rtg + 1Gls</t>
  </si>
  <si>
    <t>FGD00592</t>
  </si>
  <si>
    <t>Rasa Sayang SQ Gold 165g: 2Bks + 1Gls</t>
  </si>
  <si>
    <t>FGD00594</t>
  </si>
  <si>
    <t>Topten Special 8g</t>
  </si>
  <si>
    <t>FGD00595</t>
  </si>
  <si>
    <t>Uang Emas 200g: 1Bks + 1Gls</t>
  </si>
  <si>
    <t>FGD00596</t>
  </si>
  <si>
    <t>Tugu Buaya Special 120g</t>
  </si>
  <si>
    <t>FGD00245</t>
  </si>
  <si>
    <t>UCafe Instant Coffee Mix Hazelnut 5 Sachets x 20g Box</t>
  </si>
  <si>
    <t>FGD00248</t>
  </si>
  <si>
    <t>UCafe Instant Coffee Mix Hazelnut P10</t>
  </si>
  <si>
    <t>FGD00249</t>
  </si>
  <si>
    <t>UCafe Instant Coffee Mix Hazelnut P10*</t>
  </si>
  <si>
    <t>FGD00498</t>
  </si>
  <si>
    <t>UCafe Instant Coffee Mix Hazelnut P10: 1 Bag + 1 Tumbler</t>
  </si>
  <si>
    <t>FGD00332</t>
  </si>
  <si>
    <t>UCafe Instant Coffee Mix Hazelnut P30</t>
  </si>
  <si>
    <t>FGD00333</t>
  </si>
  <si>
    <t>UCafe Instant Coffee Mix Hazelnut P30*</t>
  </si>
  <si>
    <t>FGD00246</t>
  </si>
  <si>
    <t>UCafe Instant Coffee Mix Hazelnut P6</t>
  </si>
  <si>
    <t>FGD00247</t>
  </si>
  <si>
    <t>UCafe Instant Coffee Mix Hazelnut P6: 6Bks + 3Bks</t>
  </si>
  <si>
    <t>FGD00428</t>
  </si>
  <si>
    <t>UCafe Instant Coffee Mix Hazelnut P6: 6Bks + 3Bks, 2Bag + 1Tumbler</t>
  </si>
  <si>
    <t>FGD00598</t>
  </si>
  <si>
    <t>Uang Emas Special 7g: 10Bks + 2Bks</t>
  </si>
  <si>
    <t>SACHET240</t>
  </si>
  <si>
    <t>FGD00599</t>
  </si>
  <si>
    <t>Tugu Buaya Special 120g : 2Bks + 1Gls</t>
  </si>
  <si>
    <t>FGD00604</t>
  </si>
  <si>
    <t>Uang Emas 100g: 3Bks + 1Gls</t>
  </si>
  <si>
    <t>FGD00252</t>
  </si>
  <si>
    <t>UCafe Instant Coffee Mix Mochaccino 5 Sachets x 20g Box</t>
  </si>
  <si>
    <t>FGD00255</t>
  </si>
  <si>
    <t>UCafe Instant Coffee Mix Mochaccino P10</t>
  </si>
  <si>
    <t>FGD00256</t>
  </si>
  <si>
    <t>UCafe Instant Coffee Mix Mochaccino P10*</t>
  </si>
  <si>
    <t>FGD00499</t>
  </si>
  <si>
    <t>UCafe Instant Coffee Mix Mochaccino P10: 1 Bag + 1 Tumbler</t>
  </si>
  <si>
    <t>FGD00334</t>
  </si>
  <si>
    <t>UCafe Instant Coffee Mix Mochaccino P30</t>
  </si>
  <si>
    <t>FGD00335</t>
  </si>
  <si>
    <t>UCafe Instant Coffee Mix Mochaccino P30*</t>
  </si>
  <si>
    <t>FGD00253</t>
  </si>
  <si>
    <t>UCafe Instant Coffee Mix Mochaccino P6</t>
  </si>
  <si>
    <t>FGD00254</t>
  </si>
  <si>
    <t>UCafe Instant Coffee Mix Mochaccino P6: 6Bks + 3Bks</t>
  </si>
  <si>
    <t>FGD00614</t>
  </si>
  <si>
    <t>Uang Emas Special 60g: 5Bks + 1Gls Tangkai</t>
  </si>
  <si>
    <t>FGD00623</t>
  </si>
  <si>
    <t>Uang Emas Special 120g: 3Karton + 1Kaos</t>
  </si>
  <si>
    <t>FGD00624</t>
  </si>
  <si>
    <t>Uang Emas Special 135g: 1Bks +1Bks</t>
  </si>
  <si>
    <t>FGD00259</t>
  </si>
  <si>
    <t>UCafe Instant Coffee Mix Original 5 Sachets x 20g Box</t>
  </si>
  <si>
    <t>FGD00262</t>
  </si>
  <si>
    <t>UCafe Instant Coffee Mix Original P10</t>
  </si>
  <si>
    <t>FGD00263</t>
  </si>
  <si>
    <t>UCafe Instant Coffee Mix Original P10*</t>
  </si>
  <si>
    <t>FGD00500</t>
  </si>
  <si>
    <t>UCafe Instant Coffee Mix Original P10: 1 Bag + 1 Tumbler</t>
  </si>
  <si>
    <t>FGD00336</t>
  </si>
  <si>
    <t>UCafe Instant Coffee Mix Original P30</t>
  </si>
  <si>
    <t>FGD00337</t>
  </si>
  <si>
    <t>UCafe Instant Coffee Mix Original P30*</t>
  </si>
  <si>
    <t>FGD00260</t>
  </si>
  <si>
    <t>UCafe Instant Coffee Mix Original P6</t>
  </si>
  <si>
    <t>FGD00261</t>
  </si>
  <si>
    <t>UCafe Instant Coffee Mix Original P6: 6Bks + 3Bks</t>
  </si>
  <si>
    <t>FGD00626</t>
  </si>
  <si>
    <t>Tugu Buaya SQ 120g: 1Bks + 1Gls</t>
  </si>
  <si>
    <t>FGD00627</t>
  </si>
  <si>
    <t>Uang Emas Special 60g: 2Bks + 1Gls</t>
  </si>
  <si>
    <t>FGD00633</t>
  </si>
  <si>
    <t>Uang Emas 200g: 2Bks + 1Gls</t>
  </si>
  <si>
    <t>FGD00266</t>
  </si>
  <si>
    <t>UCafe Instant Coffee Mix Vanilla Latte 5 Sachets x 20g Box</t>
  </si>
  <si>
    <t>FGD00269</t>
  </si>
  <si>
    <t>UCafe Instant Coffee Mix Vanilla Latte P10</t>
  </si>
  <si>
    <t>FGD00270</t>
  </si>
  <si>
    <t>UCafe Instant Coffee Mix Vanilla Latte P10*</t>
  </si>
  <si>
    <t>FGD00501</t>
  </si>
  <si>
    <t>UCafe Instant Coffee Mix Vanilla Latte P10: 1 Bag + 1 Tumbler</t>
  </si>
  <si>
    <t>FGD00338</t>
  </si>
  <si>
    <t>UCafe Instant Coffee Mix Vanilla Latte P30</t>
  </si>
  <si>
    <t>FGD00339</t>
  </si>
  <si>
    <t>UCafe Instant Coffee Mix Vanilla Latte P30*</t>
  </si>
  <si>
    <t>FGD00267</t>
  </si>
  <si>
    <t>UCafe Instant Coffee Mix Vanilla Latte P6</t>
  </si>
  <si>
    <t>FGD00268</t>
  </si>
  <si>
    <t>UCafe Instant Coffee Mix Vanilla Latte P6: 6Bks + 3Bks</t>
  </si>
  <si>
    <t>FGD00429</t>
  </si>
  <si>
    <t>UCafe Instant Coffee Mix Vanilla Latte P6: 6Bks + 3Bks, 2Bag + 1Tumbler</t>
  </si>
  <si>
    <t>FGD00635</t>
  </si>
  <si>
    <t>IntiRasa Santan Bubuk Original R10: 1Rtg + 1Prg</t>
  </si>
  <si>
    <t>FGD00636</t>
  </si>
  <si>
    <t>Uang Emas Special 120g: 1Bks + 1Gls</t>
  </si>
  <si>
    <t>FGD00637</t>
  </si>
  <si>
    <t>IntiRasa Santan Bubuk Original R10</t>
  </si>
  <si>
    <t>FGD00638</t>
  </si>
  <si>
    <t>Ceria 120g</t>
  </si>
  <si>
    <t>FGD00472</t>
  </si>
  <si>
    <t>FGD00640</t>
  </si>
  <si>
    <t>Ceria 120g: 3 Karton + 1 Kaos</t>
  </si>
  <si>
    <t>FGD00473</t>
  </si>
  <si>
    <t>FGD00366</t>
  </si>
  <si>
    <t>UCafe Pure Coffee Special 7g P20</t>
  </si>
  <si>
    <t>FGD00423</t>
  </si>
  <si>
    <t>UCafe Pure Coffee Special 7g P20: 1Bag + 1Tumbler</t>
  </si>
  <si>
    <t>FGD00642</t>
  </si>
  <si>
    <t>Uang Emas 100g: 2Bks + 1Gls</t>
  </si>
  <si>
    <t>FGD00643</t>
  </si>
  <si>
    <t>Tugu Buaya Gula R10: 2Bks + 1Bks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</si>
</sst>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6" fillId="16" borderId="7" applyNumberForma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9" fillId="16" borderId="1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Border="1">
      <alignment vertical="center"/>
    </xf>
    <xf numFmtId="4" fontId="0" fillId="0" borderId="0" xfId="0" applyNumberFormat="1">
      <alignment vertical="center"/>
    </xf>
    <xf numFmtId="4" fontId="0" fillId="0" borderId="0" xfId="0" applyNumberFormat="1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I647"/>
  <sheetViews>
    <sheetView tabSelected="1" zoomScale="85" zoomScaleNormal="85" workbookViewId="0">
      <selection activeCell="G619" sqref="G619"/>
    </sheetView>
  </sheetViews>
  <sheetFormatPr defaultColWidth="9.14285714285714" defaultRowHeight="15"/>
  <cols>
    <col min="1" max="1" width="11.4285714285714" customWidth="1"/>
    <col min="2" max="2" width="70.5714285714286" customWidth="1"/>
    <col min="3" max="3" width="15.7142857142857" hidden="1" customWidth="1"/>
    <col min="4" max="4" width="33.5714285714286" hidden="1" customWidth="1"/>
    <col min="5" max="5" width="16.4285714285714" hidden="1" customWidth="1"/>
    <col min="6" max="6" width="30.7142857142857" hidden="1" customWidth="1"/>
    <col min="7" max="7" width="16" customWidth="1"/>
    <col min="8" max="8" width="10.8571428571429" customWidth="1"/>
    <col min="9" max="9" width="16.7142857142857" customWidth="1"/>
    <col min="10" max="10" width="13" customWidth="1"/>
    <col min="11" max="11" width="26.8571428571429" customWidth="1"/>
    <col min="12" max="12" width="15.2857142857143" customWidth="1"/>
    <col min="13" max="13" width="29.0666666666667" customWidth="1"/>
    <col min="14" max="14" width="12.7142857142857" customWidth="1"/>
    <col min="15" max="15" width="12.2857142857143" hidden="1" customWidth="1"/>
    <col min="16" max="16" width="20.1428571428571" hidden="1" customWidth="1"/>
    <col min="17" max="17" width="24" hidden="1" customWidth="1"/>
    <col min="18" max="18" width="14.7142857142857" hidden="1" customWidth="1"/>
    <col min="19" max="19" width="10.8571428571429" hidden="1" customWidth="1"/>
    <col min="20" max="20" width="15.2857142857143" hidden="1" customWidth="1"/>
    <col min="21" max="21" width="27.7142857142857" hidden="1" customWidth="1"/>
    <col min="22" max="23" width="20.4285714285714" hidden="1" customWidth="1"/>
    <col min="24" max="24" width="16" hidden="1" customWidth="1"/>
    <col min="25" max="25" width="15" hidden="1" customWidth="1"/>
    <col min="26" max="26" width="20.7142857142857" hidden="1" customWidth="1"/>
    <col min="27" max="27" width="7.14285714285714" hidden="1" customWidth="1"/>
    <col min="28" max="28" width="13.7142857142857" hidden="1" customWidth="1"/>
    <col min="29" max="29" width="14.4285714285714" hidden="1" customWidth="1"/>
    <col min="30" max="30" width="25.4285714285714" hidden="1" customWidth="1"/>
    <col min="31" max="31" width="7.57142857142857" customWidth="1"/>
    <col min="32" max="32" width="7" customWidth="1"/>
    <col min="33" max="33" width="7.42857142857143" customWidth="1"/>
    <col min="34" max="34" width="20" hidden="1" customWidth="1"/>
    <col min="35" max="35" width="8.7142857142857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36</v>
      </c>
      <c r="D2" t="s">
        <v>37</v>
      </c>
      <c r="F2">
        <v>1</v>
      </c>
      <c r="G2">
        <v>1</v>
      </c>
      <c r="H2" t="s">
        <v>38</v>
      </c>
      <c r="K2">
        <v>24</v>
      </c>
      <c r="L2" t="s">
        <v>39</v>
      </c>
      <c r="M2">
        <v>24</v>
      </c>
      <c r="N2" t="s">
        <v>40</v>
      </c>
      <c r="O2" s="2">
        <v>2400</v>
      </c>
      <c r="P2" t="s">
        <v>41</v>
      </c>
      <c r="Q2" t="s">
        <v>42</v>
      </c>
      <c r="R2" t="s">
        <v>43</v>
      </c>
      <c r="S2" t="s">
        <v>44</v>
      </c>
      <c r="T2" t="s">
        <v>44</v>
      </c>
      <c r="U2" t="s">
        <v>44</v>
      </c>
      <c r="V2" t="s">
        <v>45</v>
      </c>
      <c r="W2" t="s">
        <v>46</v>
      </c>
      <c r="X2" t="s">
        <v>47</v>
      </c>
      <c r="Y2">
        <v>8993320210056</v>
      </c>
      <c r="Z2">
        <v>60</v>
      </c>
      <c r="AA2" t="s">
        <v>44</v>
      </c>
      <c r="AB2">
        <v>0</v>
      </c>
      <c r="AD2">
        <v>2</v>
      </c>
      <c r="AE2">
        <v>31.5</v>
      </c>
      <c r="AF2">
        <v>19.8</v>
      </c>
      <c r="AG2">
        <v>17.6</v>
      </c>
      <c r="AH2">
        <v>0.01</v>
      </c>
      <c r="AI2">
        <v>2.61</v>
      </c>
    </row>
    <row r="3" spans="1:35">
      <c r="A3" t="s">
        <v>48</v>
      </c>
      <c r="B3" t="s">
        <v>49</v>
      </c>
      <c r="D3" t="s">
        <v>37</v>
      </c>
      <c r="F3">
        <v>1</v>
      </c>
      <c r="G3">
        <v>1</v>
      </c>
      <c r="H3" t="s">
        <v>38</v>
      </c>
      <c r="K3">
        <v>20</v>
      </c>
      <c r="L3" t="s">
        <v>39</v>
      </c>
      <c r="M3">
        <v>20</v>
      </c>
      <c r="N3" t="s">
        <v>50</v>
      </c>
      <c r="O3" s="2">
        <v>2000</v>
      </c>
      <c r="P3" t="s">
        <v>41</v>
      </c>
      <c r="Q3" t="s">
        <v>42</v>
      </c>
      <c r="R3" t="s">
        <v>43</v>
      </c>
      <c r="S3" t="s">
        <v>44</v>
      </c>
      <c r="T3" t="s">
        <v>44</v>
      </c>
      <c r="U3" t="s">
        <v>44</v>
      </c>
      <c r="V3" t="s">
        <v>45</v>
      </c>
      <c r="W3" t="s">
        <v>46</v>
      </c>
      <c r="X3" t="s">
        <v>47</v>
      </c>
      <c r="Y3">
        <v>8993320210063</v>
      </c>
      <c r="Z3">
        <v>50</v>
      </c>
      <c r="AA3" t="s">
        <v>44</v>
      </c>
      <c r="AB3">
        <v>0</v>
      </c>
      <c r="AD3">
        <v>2</v>
      </c>
      <c r="AE3">
        <v>28</v>
      </c>
      <c r="AF3">
        <v>21.4</v>
      </c>
      <c r="AG3">
        <v>27.4</v>
      </c>
      <c r="AH3">
        <v>0.02</v>
      </c>
      <c r="AI3">
        <v>2.09</v>
      </c>
    </row>
    <row r="4" hidden="1" spans="1:35">
      <c r="A4" t="s">
        <v>51</v>
      </c>
      <c r="B4" t="s">
        <v>52</v>
      </c>
      <c r="D4" t="s">
        <v>37</v>
      </c>
      <c r="F4">
        <v>1</v>
      </c>
      <c r="G4">
        <v>1</v>
      </c>
      <c r="K4">
        <v>1</v>
      </c>
      <c r="L4" t="s">
        <v>53</v>
      </c>
      <c r="M4">
        <v>10</v>
      </c>
      <c r="N4" t="s">
        <v>54</v>
      </c>
      <c r="O4">
        <v>15</v>
      </c>
      <c r="P4" t="s">
        <v>41</v>
      </c>
      <c r="Q4" t="s">
        <v>42</v>
      </c>
      <c r="R4" t="s">
        <v>43</v>
      </c>
      <c r="S4" t="s">
        <v>44</v>
      </c>
      <c r="T4" t="s">
        <v>44</v>
      </c>
      <c r="U4" t="s">
        <v>44</v>
      </c>
      <c r="V4" t="s">
        <v>45</v>
      </c>
      <c r="W4" t="s">
        <v>55</v>
      </c>
      <c r="X4" t="s">
        <v>47</v>
      </c>
      <c r="Y4">
        <v>8993320210032</v>
      </c>
      <c r="Z4" s="2">
        <v>1000</v>
      </c>
      <c r="AA4" t="s">
        <v>44</v>
      </c>
      <c r="AB4">
        <v>0</v>
      </c>
      <c r="AD4">
        <v>2</v>
      </c>
      <c r="AE4">
        <v>0</v>
      </c>
      <c r="AF4">
        <v>0</v>
      </c>
      <c r="AG4">
        <v>0</v>
      </c>
      <c r="AH4">
        <v>0</v>
      </c>
      <c r="AI4">
        <v>0</v>
      </c>
    </row>
    <row r="5" hidden="1" spans="1:35">
      <c r="A5" t="s">
        <v>56</v>
      </c>
      <c r="B5" t="s">
        <v>57</v>
      </c>
      <c r="D5" t="s">
        <v>37</v>
      </c>
      <c r="F5">
        <v>1</v>
      </c>
      <c r="G5">
        <v>1</v>
      </c>
      <c r="K5">
        <v>1</v>
      </c>
      <c r="L5" t="s">
        <v>58</v>
      </c>
      <c r="M5">
        <v>36</v>
      </c>
      <c r="N5" t="s">
        <v>59</v>
      </c>
      <c r="O5" s="2">
        <v>3600</v>
      </c>
      <c r="P5" t="s">
        <v>41</v>
      </c>
      <c r="Q5" t="s">
        <v>42</v>
      </c>
      <c r="R5" t="s">
        <v>43</v>
      </c>
      <c r="S5" t="s">
        <v>44</v>
      </c>
      <c r="T5" t="s">
        <v>44</v>
      </c>
      <c r="U5" t="s">
        <v>44</v>
      </c>
      <c r="V5" t="s">
        <v>45</v>
      </c>
      <c r="W5" t="s">
        <v>55</v>
      </c>
      <c r="X5" t="s">
        <v>47</v>
      </c>
      <c r="Y5">
        <v>8993320210001</v>
      </c>
      <c r="Z5">
        <v>200</v>
      </c>
      <c r="AA5" t="s">
        <v>44</v>
      </c>
      <c r="AB5">
        <v>0</v>
      </c>
      <c r="AD5">
        <v>2</v>
      </c>
      <c r="AE5">
        <v>0</v>
      </c>
      <c r="AF5">
        <v>0</v>
      </c>
      <c r="AG5">
        <v>0</v>
      </c>
      <c r="AH5">
        <v>0</v>
      </c>
      <c r="AI5">
        <v>0</v>
      </c>
    </row>
    <row r="6" hidden="1" spans="1:35">
      <c r="A6" t="s">
        <v>60</v>
      </c>
      <c r="B6" t="s">
        <v>57</v>
      </c>
      <c r="D6" t="s">
        <v>37</v>
      </c>
      <c r="F6">
        <v>1</v>
      </c>
      <c r="G6">
        <v>1</v>
      </c>
      <c r="K6">
        <v>1</v>
      </c>
      <c r="L6" t="s">
        <v>58</v>
      </c>
      <c r="M6">
        <v>12</v>
      </c>
      <c r="N6" t="s">
        <v>61</v>
      </c>
      <c r="O6" s="2">
        <v>1200</v>
      </c>
      <c r="P6" t="s">
        <v>41</v>
      </c>
      <c r="Q6" t="s">
        <v>42</v>
      </c>
      <c r="R6" t="s">
        <v>43</v>
      </c>
      <c r="S6" t="s">
        <v>44</v>
      </c>
      <c r="T6" t="s">
        <v>44</v>
      </c>
      <c r="U6" t="s">
        <v>44</v>
      </c>
      <c r="V6" t="s">
        <v>45</v>
      </c>
      <c r="W6" t="s">
        <v>55</v>
      </c>
      <c r="X6" t="s">
        <v>47</v>
      </c>
      <c r="Z6">
        <v>200</v>
      </c>
      <c r="AA6" t="s">
        <v>44</v>
      </c>
      <c r="AB6">
        <v>0</v>
      </c>
      <c r="AD6">
        <v>2</v>
      </c>
      <c r="AE6">
        <v>0</v>
      </c>
      <c r="AF6">
        <v>0</v>
      </c>
      <c r="AG6">
        <v>0</v>
      </c>
      <c r="AH6">
        <v>0</v>
      </c>
      <c r="AI6">
        <v>0</v>
      </c>
    </row>
    <row r="7" hidden="1" spans="1:35">
      <c r="A7" t="s">
        <v>62</v>
      </c>
      <c r="B7" t="s">
        <v>63</v>
      </c>
      <c r="D7" t="s">
        <v>37</v>
      </c>
      <c r="F7">
        <v>1</v>
      </c>
      <c r="G7">
        <v>1</v>
      </c>
      <c r="K7">
        <v>1</v>
      </c>
      <c r="L7" t="s">
        <v>53</v>
      </c>
      <c r="M7">
        <v>20</v>
      </c>
      <c r="N7" t="s">
        <v>64</v>
      </c>
      <c r="O7">
        <v>20</v>
      </c>
      <c r="P7" t="s">
        <v>41</v>
      </c>
      <c r="Q7" t="s">
        <v>42</v>
      </c>
      <c r="R7" t="s">
        <v>43</v>
      </c>
      <c r="S7" t="s">
        <v>44</v>
      </c>
      <c r="T7" t="s">
        <v>44</v>
      </c>
      <c r="U7" t="s">
        <v>44</v>
      </c>
      <c r="V7" t="s">
        <v>45</v>
      </c>
      <c r="W7" t="s">
        <v>55</v>
      </c>
      <c r="X7" t="s">
        <v>47</v>
      </c>
      <c r="Y7">
        <v>8993320210025</v>
      </c>
      <c r="Z7">
        <v>500</v>
      </c>
      <c r="AA7" t="s">
        <v>44</v>
      </c>
      <c r="AB7">
        <v>0</v>
      </c>
      <c r="AD7">
        <v>2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>
      <c r="A8" t="s">
        <v>65</v>
      </c>
      <c r="B8" t="s">
        <v>66</v>
      </c>
      <c r="D8" t="s">
        <v>37</v>
      </c>
      <c r="F8">
        <v>1</v>
      </c>
      <c r="G8">
        <v>1</v>
      </c>
      <c r="H8" t="s">
        <v>38</v>
      </c>
      <c r="K8">
        <v>24</v>
      </c>
      <c r="L8" t="s">
        <v>39</v>
      </c>
      <c r="M8">
        <v>24</v>
      </c>
      <c r="N8" t="s">
        <v>40</v>
      </c>
      <c r="O8" s="2">
        <v>2400</v>
      </c>
      <c r="P8" t="s">
        <v>41</v>
      </c>
      <c r="Q8" t="s">
        <v>42</v>
      </c>
      <c r="R8" t="s">
        <v>43</v>
      </c>
      <c r="S8" t="s">
        <v>44</v>
      </c>
      <c r="T8" t="s">
        <v>44</v>
      </c>
      <c r="U8" t="s">
        <v>44</v>
      </c>
      <c r="V8" t="s">
        <v>45</v>
      </c>
      <c r="W8" t="s">
        <v>46</v>
      </c>
      <c r="X8" t="s">
        <v>47</v>
      </c>
      <c r="Y8">
        <v>8993320210650</v>
      </c>
      <c r="Z8">
        <v>60</v>
      </c>
      <c r="AA8" t="s">
        <v>44</v>
      </c>
      <c r="AB8">
        <v>0</v>
      </c>
      <c r="AD8">
        <v>2</v>
      </c>
      <c r="AE8">
        <v>31.5</v>
      </c>
      <c r="AF8">
        <v>19.8</v>
      </c>
      <c r="AG8">
        <v>17.6</v>
      </c>
      <c r="AH8">
        <v>0.01</v>
      </c>
      <c r="AI8">
        <v>2.61</v>
      </c>
    </row>
    <row r="9" spans="1:35">
      <c r="A9" t="s">
        <v>67</v>
      </c>
      <c r="B9" t="s">
        <v>68</v>
      </c>
      <c r="D9" t="s">
        <v>37</v>
      </c>
      <c r="F9">
        <v>1</v>
      </c>
      <c r="G9">
        <v>1</v>
      </c>
      <c r="H9" t="s">
        <v>38</v>
      </c>
      <c r="K9">
        <v>20</v>
      </c>
      <c r="L9" t="s">
        <v>39</v>
      </c>
      <c r="M9">
        <v>20</v>
      </c>
      <c r="N9" t="s">
        <v>50</v>
      </c>
      <c r="O9" s="2">
        <v>2000</v>
      </c>
      <c r="P9" t="s">
        <v>41</v>
      </c>
      <c r="Q9" t="s">
        <v>42</v>
      </c>
      <c r="R9" t="s">
        <v>43</v>
      </c>
      <c r="S9" t="s">
        <v>44</v>
      </c>
      <c r="T9" t="s">
        <v>44</v>
      </c>
      <c r="U9" t="s">
        <v>44</v>
      </c>
      <c r="V9" t="s">
        <v>45</v>
      </c>
      <c r="W9" t="s">
        <v>46</v>
      </c>
      <c r="X9" t="s">
        <v>47</v>
      </c>
      <c r="Y9">
        <v>8993320210667</v>
      </c>
      <c r="Z9">
        <v>50</v>
      </c>
      <c r="AA9" t="s">
        <v>44</v>
      </c>
      <c r="AB9">
        <v>0</v>
      </c>
      <c r="AD9">
        <v>2</v>
      </c>
      <c r="AE9">
        <v>28</v>
      </c>
      <c r="AF9">
        <v>21.4</v>
      </c>
      <c r="AG9">
        <v>27.4</v>
      </c>
      <c r="AH9">
        <v>0.02</v>
      </c>
      <c r="AI9">
        <v>2.09</v>
      </c>
    </row>
    <row r="10" hidden="1" spans="1:35">
      <c r="A10" t="s">
        <v>69</v>
      </c>
      <c r="B10" t="s">
        <v>70</v>
      </c>
      <c r="D10" t="s">
        <v>37</v>
      </c>
      <c r="F10">
        <v>1</v>
      </c>
      <c r="G10">
        <v>1</v>
      </c>
      <c r="K10">
        <v>1</v>
      </c>
      <c r="L10" t="s">
        <v>58</v>
      </c>
      <c r="M10">
        <v>36</v>
      </c>
      <c r="N10" t="s">
        <v>59</v>
      </c>
      <c r="O10">
        <v>1</v>
      </c>
      <c r="P10" t="s">
        <v>41</v>
      </c>
      <c r="Q10" t="s">
        <v>42</v>
      </c>
      <c r="R10" t="s">
        <v>43</v>
      </c>
      <c r="S10" t="s">
        <v>44</v>
      </c>
      <c r="T10" t="s">
        <v>44</v>
      </c>
      <c r="U10" t="s">
        <v>44</v>
      </c>
      <c r="V10" t="s">
        <v>45</v>
      </c>
      <c r="W10" t="s">
        <v>55</v>
      </c>
      <c r="X10" t="s">
        <v>47</v>
      </c>
      <c r="Z10">
        <v>100</v>
      </c>
      <c r="AA10" t="s">
        <v>44</v>
      </c>
      <c r="AB10">
        <v>0</v>
      </c>
      <c r="AD10">
        <v>2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>
      <c r="A11" t="s">
        <v>71</v>
      </c>
      <c r="B11" t="s">
        <v>72</v>
      </c>
      <c r="D11" t="s">
        <v>37</v>
      </c>
      <c r="F11">
        <v>1</v>
      </c>
      <c r="G11">
        <v>1</v>
      </c>
      <c r="H11" t="s">
        <v>38</v>
      </c>
      <c r="K11">
        <v>24</v>
      </c>
      <c r="L11" t="s">
        <v>39</v>
      </c>
      <c r="M11">
        <v>24</v>
      </c>
      <c r="N11" t="s">
        <v>40</v>
      </c>
      <c r="O11" s="2">
        <v>2400</v>
      </c>
      <c r="P11" t="s">
        <v>41</v>
      </c>
      <c r="Q11" t="s">
        <v>42</v>
      </c>
      <c r="R11" t="s">
        <v>43</v>
      </c>
      <c r="S11" t="s">
        <v>44</v>
      </c>
      <c r="T11" t="s">
        <v>44</v>
      </c>
      <c r="U11" t="s">
        <v>44</v>
      </c>
      <c r="V11" t="s">
        <v>45</v>
      </c>
      <c r="W11" t="s">
        <v>46</v>
      </c>
      <c r="X11" t="s">
        <v>47</v>
      </c>
      <c r="Z11">
        <v>60</v>
      </c>
      <c r="AA11" t="s">
        <v>44</v>
      </c>
      <c r="AB11">
        <v>0</v>
      </c>
      <c r="AD11">
        <v>2</v>
      </c>
      <c r="AE11">
        <v>31.5</v>
      </c>
      <c r="AF11">
        <v>19.8</v>
      </c>
      <c r="AG11">
        <v>17.6</v>
      </c>
      <c r="AH11">
        <v>0.01</v>
      </c>
      <c r="AI11">
        <v>2.61</v>
      </c>
    </row>
    <row r="12" spans="1:35">
      <c r="A12" t="s">
        <v>73</v>
      </c>
      <c r="B12" t="s">
        <v>74</v>
      </c>
      <c r="D12" t="s">
        <v>37</v>
      </c>
      <c r="F12">
        <v>1</v>
      </c>
      <c r="G12">
        <v>1</v>
      </c>
      <c r="H12" t="s">
        <v>38</v>
      </c>
      <c r="K12">
        <v>20</v>
      </c>
      <c r="L12" t="s">
        <v>39</v>
      </c>
      <c r="M12">
        <v>20</v>
      </c>
      <c r="N12" t="s">
        <v>50</v>
      </c>
      <c r="O12" s="2">
        <v>2000</v>
      </c>
      <c r="P12" t="s">
        <v>41</v>
      </c>
      <c r="Q12" t="s">
        <v>42</v>
      </c>
      <c r="R12" t="s">
        <v>43</v>
      </c>
      <c r="S12" t="s">
        <v>44</v>
      </c>
      <c r="T12" t="s">
        <v>44</v>
      </c>
      <c r="U12" t="s">
        <v>44</v>
      </c>
      <c r="V12" t="s">
        <v>45</v>
      </c>
      <c r="W12" t="s">
        <v>46</v>
      </c>
      <c r="X12" t="s">
        <v>47</v>
      </c>
      <c r="Z12">
        <v>50</v>
      </c>
      <c r="AA12" t="s">
        <v>44</v>
      </c>
      <c r="AB12">
        <v>0</v>
      </c>
      <c r="AD12">
        <v>2</v>
      </c>
      <c r="AE12">
        <v>28</v>
      </c>
      <c r="AF12">
        <v>21.4</v>
      </c>
      <c r="AG12">
        <v>27.4</v>
      </c>
      <c r="AH12">
        <v>0.02</v>
      </c>
      <c r="AI12">
        <v>2.09</v>
      </c>
    </row>
    <row r="13" hidden="1" spans="1:35">
      <c r="A13" t="s">
        <v>75</v>
      </c>
      <c r="B13" t="s">
        <v>76</v>
      </c>
      <c r="D13" t="s">
        <v>37</v>
      </c>
      <c r="F13">
        <v>1</v>
      </c>
      <c r="G13">
        <v>1</v>
      </c>
      <c r="K13">
        <v>1</v>
      </c>
      <c r="L13" t="s">
        <v>53</v>
      </c>
      <c r="M13">
        <v>10</v>
      </c>
      <c r="N13" t="s">
        <v>54</v>
      </c>
      <c r="O13">
        <v>10</v>
      </c>
      <c r="P13" t="s">
        <v>41</v>
      </c>
      <c r="Q13" t="s">
        <v>42</v>
      </c>
      <c r="R13" t="s">
        <v>43</v>
      </c>
      <c r="S13" t="s">
        <v>44</v>
      </c>
      <c r="T13" t="s">
        <v>44</v>
      </c>
      <c r="U13" t="s">
        <v>44</v>
      </c>
      <c r="V13" t="s">
        <v>45</v>
      </c>
      <c r="W13" t="s">
        <v>55</v>
      </c>
      <c r="X13" t="s">
        <v>47</v>
      </c>
      <c r="Z13" s="2">
        <v>1000</v>
      </c>
      <c r="AA13" t="s">
        <v>44</v>
      </c>
      <c r="AB13">
        <v>0</v>
      </c>
      <c r="AD13">
        <v>2</v>
      </c>
      <c r="AE13">
        <v>0</v>
      </c>
      <c r="AF13">
        <v>0</v>
      </c>
      <c r="AG13">
        <v>0</v>
      </c>
      <c r="AH13">
        <v>0</v>
      </c>
      <c r="AI13">
        <v>0</v>
      </c>
    </row>
    <row r="14" hidden="1" spans="1:35">
      <c r="A14" t="s">
        <v>77</v>
      </c>
      <c r="B14" t="s">
        <v>78</v>
      </c>
      <c r="D14" t="s">
        <v>37</v>
      </c>
      <c r="F14">
        <v>1</v>
      </c>
      <c r="G14">
        <v>1</v>
      </c>
      <c r="K14">
        <v>1</v>
      </c>
      <c r="L14" t="s">
        <v>58</v>
      </c>
      <c r="M14">
        <v>36</v>
      </c>
      <c r="N14" t="s">
        <v>59</v>
      </c>
      <c r="O14" s="2">
        <v>3600</v>
      </c>
      <c r="P14" t="s">
        <v>41</v>
      </c>
      <c r="Q14" t="s">
        <v>42</v>
      </c>
      <c r="R14" t="s">
        <v>43</v>
      </c>
      <c r="S14" t="s">
        <v>44</v>
      </c>
      <c r="T14" t="s">
        <v>44</v>
      </c>
      <c r="U14" t="s">
        <v>44</v>
      </c>
      <c r="V14" t="s">
        <v>45</v>
      </c>
      <c r="W14" t="s">
        <v>55</v>
      </c>
      <c r="X14" t="s">
        <v>47</v>
      </c>
      <c r="Z14">
        <v>200</v>
      </c>
      <c r="AA14" t="s">
        <v>44</v>
      </c>
      <c r="AB14">
        <v>0</v>
      </c>
      <c r="AD14">
        <v>2</v>
      </c>
      <c r="AE14">
        <v>0</v>
      </c>
      <c r="AF14">
        <v>0</v>
      </c>
      <c r="AG14">
        <v>0</v>
      </c>
      <c r="AH14">
        <v>0</v>
      </c>
      <c r="AI14">
        <v>0</v>
      </c>
    </row>
    <row r="15" hidden="1" spans="1:35">
      <c r="A15" t="s">
        <v>79</v>
      </c>
      <c r="B15" t="s">
        <v>78</v>
      </c>
      <c r="D15" t="s">
        <v>37</v>
      </c>
      <c r="F15">
        <v>1</v>
      </c>
      <c r="G15">
        <v>1</v>
      </c>
      <c r="K15">
        <v>1</v>
      </c>
      <c r="L15" t="s">
        <v>58</v>
      </c>
      <c r="M15">
        <v>12</v>
      </c>
      <c r="N15" t="s">
        <v>61</v>
      </c>
      <c r="O15" s="2">
        <v>1200</v>
      </c>
      <c r="P15" t="s">
        <v>41</v>
      </c>
      <c r="Q15" t="s">
        <v>42</v>
      </c>
      <c r="R15" t="s">
        <v>43</v>
      </c>
      <c r="S15" t="s">
        <v>44</v>
      </c>
      <c r="T15" t="s">
        <v>44</v>
      </c>
      <c r="U15" t="s">
        <v>44</v>
      </c>
      <c r="V15" t="s">
        <v>45</v>
      </c>
      <c r="W15" t="s">
        <v>55</v>
      </c>
      <c r="X15" t="s">
        <v>47</v>
      </c>
      <c r="Z15">
        <v>200</v>
      </c>
      <c r="AA15" t="s">
        <v>44</v>
      </c>
      <c r="AB15">
        <v>0</v>
      </c>
      <c r="AD15">
        <v>2</v>
      </c>
      <c r="AE15">
        <v>0</v>
      </c>
      <c r="AF15">
        <v>0</v>
      </c>
      <c r="AG15">
        <v>0</v>
      </c>
      <c r="AH15">
        <v>0</v>
      </c>
      <c r="AI15">
        <v>0</v>
      </c>
    </row>
    <row r="16" hidden="1" spans="1:35">
      <c r="A16" t="s">
        <v>80</v>
      </c>
      <c r="B16" t="s">
        <v>81</v>
      </c>
      <c r="D16" t="s">
        <v>37</v>
      </c>
      <c r="F16">
        <v>1</v>
      </c>
      <c r="G16">
        <v>1</v>
      </c>
      <c r="K16">
        <v>1</v>
      </c>
      <c r="L16" t="s">
        <v>53</v>
      </c>
      <c r="M16">
        <v>20</v>
      </c>
      <c r="N16" t="s">
        <v>64</v>
      </c>
      <c r="O16">
        <v>20</v>
      </c>
      <c r="P16" t="s">
        <v>41</v>
      </c>
      <c r="Q16" t="s">
        <v>42</v>
      </c>
      <c r="R16" t="s">
        <v>43</v>
      </c>
      <c r="S16" t="s">
        <v>44</v>
      </c>
      <c r="T16" t="s">
        <v>44</v>
      </c>
      <c r="U16" t="s">
        <v>44</v>
      </c>
      <c r="V16" t="s">
        <v>45</v>
      </c>
      <c r="W16" t="s">
        <v>55</v>
      </c>
      <c r="X16" t="s">
        <v>47</v>
      </c>
      <c r="Z16">
        <v>500</v>
      </c>
      <c r="AA16" t="s">
        <v>44</v>
      </c>
      <c r="AB16">
        <v>0</v>
      </c>
      <c r="AD16">
        <v>2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>
      <c r="A17" t="s">
        <v>82</v>
      </c>
      <c r="B17" t="s">
        <v>83</v>
      </c>
      <c r="D17" t="s">
        <v>37</v>
      </c>
      <c r="F17">
        <v>1</v>
      </c>
      <c r="G17">
        <v>1</v>
      </c>
      <c r="H17" t="s">
        <v>38</v>
      </c>
      <c r="K17">
        <v>24</v>
      </c>
      <c r="L17" t="s">
        <v>39</v>
      </c>
      <c r="M17">
        <v>24</v>
      </c>
      <c r="N17" t="s">
        <v>40</v>
      </c>
      <c r="O17" s="2">
        <v>2400</v>
      </c>
      <c r="P17" t="s">
        <v>41</v>
      </c>
      <c r="Q17" t="s">
        <v>42</v>
      </c>
      <c r="R17" t="s">
        <v>43</v>
      </c>
      <c r="S17" t="s">
        <v>44</v>
      </c>
      <c r="T17" t="s">
        <v>44</v>
      </c>
      <c r="U17" t="s">
        <v>44</v>
      </c>
      <c r="V17" t="s">
        <v>45</v>
      </c>
      <c r="W17" t="s">
        <v>46</v>
      </c>
      <c r="X17" t="s">
        <v>47</v>
      </c>
      <c r="Z17">
        <v>60</v>
      </c>
      <c r="AA17" t="s">
        <v>44</v>
      </c>
      <c r="AB17">
        <v>0</v>
      </c>
      <c r="AD17">
        <v>2</v>
      </c>
      <c r="AE17">
        <v>31.5</v>
      </c>
      <c r="AF17">
        <v>19.8</v>
      </c>
      <c r="AG17">
        <v>17.6</v>
      </c>
      <c r="AH17">
        <v>0.01</v>
      </c>
      <c r="AI17">
        <v>2.61</v>
      </c>
    </row>
    <row r="18" spans="1:35">
      <c r="A18" t="s">
        <v>84</v>
      </c>
      <c r="B18" t="s">
        <v>85</v>
      </c>
      <c r="D18" t="s">
        <v>37</v>
      </c>
      <c r="F18">
        <v>1</v>
      </c>
      <c r="G18">
        <v>1</v>
      </c>
      <c r="H18" t="s">
        <v>38</v>
      </c>
      <c r="K18">
        <v>20</v>
      </c>
      <c r="L18" t="s">
        <v>39</v>
      </c>
      <c r="M18">
        <v>20</v>
      </c>
      <c r="N18" t="s">
        <v>50</v>
      </c>
      <c r="O18" s="2">
        <v>2000</v>
      </c>
      <c r="P18" t="s">
        <v>41</v>
      </c>
      <c r="Q18" t="s">
        <v>42</v>
      </c>
      <c r="R18" t="s">
        <v>43</v>
      </c>
      <c r="S18" t="s">
        <v>44</v>
      </c>
      <c r="T18" t="s">
        <v>44</v>
      </c>
      <c r="U18" t="s">
        <v>44</v>
      </c>
      <c r="V18" t="s">
        <v>45</v>
      </c>
      <c r="W18" t="s">
        <v>46</v>
      </c>
      <c r="X18" t="s">
        <v>47</v>
      </c>
      <c r="Z18">
        <v>50</v>
      </c>
      <c r="AA18" t="s">
        <v>44</v>
      </c>
      <c r="AB18">
        <v>0</v>
      </c>
      <c r="AD18">
        <v>2</v>
      </c>
      <c r="AE18">
        <v>28</v>
      </c>
      <c r="AF18">
        <v>21.4</v>
      </c>
      <c r="AG18">
        <v>27.4</v>
      </c>
      <c r="AH18">
        <v>0.02</v>
      </c>
      <c r="AI18">
        <v>2.09</v>
      </c>
    </row>
    <row r="19" hidden="1" spans="1:35">
      <c r="A19" t="s">
        <v>86</v>
      </c>
      <c r="B19" t="s">
        <v>87</v>
      </c>
      <c r="D19" t="s">
        <v>37</v>
      </c>
      <c r="F19">
        <v>1</v>
      </c>
      <c r="G19">
        <v>1</v>
      </c>
      <c r="K19">
        <v>1</v>
      </c>
      <c r="L19" t="s">
        <v>53</v>
      </c>
      <c r="M19">
        <v>10</v>
      </c>
      <c r="N19" t="s">
        <v>54</v>
      </c>
      <c r="O19">
        <v>10</v>
      </c>
      <c r="P19" t="s">
        <v>41</v>
      </c>
      <c r="Q19" t="s">
        <v>42</v>
      </c>
      <c r="R19" t="s">
        <v>43</v>
      </c>
      <c r="S19" t="s">
        <v>44</v>
      </c>
      <c r="T19" t="s">
        <v>44</v>
      </c>
      <c r="U19" t="s">
        <v>44</v>
      </c>
      <c r="V19" t="s">
        <v>45</v>
      </c>
      <c r="W19" t="s">
        <v>55</v>
      </c>
      <c r="X19" t="s">
        <v>47</v>
      </c>
      <c r="Z19" s="2">
        <v>1000</v>
      </c>
      <c r="AA19" t="s">
        <v>44</v>
      </c>
      <c r="AB19">
        <v>0</v>
      </c>
      <c r="AD19">
        <v>2</v>
      </c>
      <c r="AE19">
        <v>0</v>
      </c>
      <c r="AF19">
        <v>0</v>
      </c>
      <c r="AG19">
        <v>0</v>
      </c>
      <c r="AH19">
        <v>0</v>
      </c>
      <c r="AI19">
        <v>0</v>
      </c>
    </row>
    <row r="20" hidden="1" spans="1:35">
      <c r="A20" t="s">
        <v>88</v>
      </c>
      <c r="B20" t="s">
        <v>89</v>
      </c>
      <c r="D20" t="s">
        <v>37</v>
      </c>
      <c r="F20">
        <v>1</v>
      </c>
      <c r="G20">
        <v>1</v>
      </c>
      <c r="K20">
        <v>1</v>
      </c>
      <c r="L20" t="s">
        <v>58</v>
      </c>
      <c r="M20">
        <v>36</v>
      </c>
      <c r="N20" t="s">
        <v>59</v>
      </c>
      <c r="O20" s="2">
        <v>3600</v>
      </c>
      <c r="P20" t="s">
        <v>41</v>
      </c>
      <c r="Q20" t="s">
        <v>42</v>
      </c>
      <c r="R20" t="s">
        <v>43</v>
      </c>
      <c r="S20" t="s">
        <v>44</v>
      </c>
      <c r="T20" t="s">
        <v>44</v>
      </c>
      <c r="U20" t="s">
        <v>44</v>
      </c>
      <c r="V20" t="s">
        <v>45</v>
      </c>
      <c r="W20" t="s">
        <v>55</v>
      </c>
      <c r="X20" t="s">
        <v>47</v>
      </c>
      <c r="Z20">
        <v>200</v>
      </c>
      <c r="AA20" t="s">
        <v>44</v>
      </c>
      <c r="AB20">
        <v>0</v>
      </c>
      <c r="AD20">
        <v>2</v>
      </c>
      <c r="AE20">
        <v>0</v>
      </c>
      <c r="AF20">
        <v>0</v>
      </c>
      <c r="AG20">
        <v>0</v>
      </c>
      <c r="AH20">
        <v>0</v>
      </c>
      <c r="AI20">
        <v>0</v>
      </c>
    </row>
    <row r="21" hidden="1" spans="1:35">
      <c r="A21" t="s">
        <v>90</v>
      </c>
      <c r="B21" t="s">
        <v>89</v>
      </c>
      <c r="D21" t="s">
        <v>37</v>
      </c>
      <c r="F21">
        <v>1</v>
      </c>
      <c r="G21">
        <v>1</v>
      </c>
      <c r="K21">
        <v>1</v>
      </c>
      <c r="L21" t="s">
        <v>58</v>
      </c>
      <c r="M21">
        <v>12</v>
      </c>
      <c r="N21" t="s">
        <v>61</v>
      </c>
      <c r="O21" s="2">
        <v>1200</v>
      </c>
      <c r="P21" t="s">
        <v>41</v>
      </c>
      <c r="Q21" t="s">
        <v>42</v>
      </c>
      <c r="R21" t="s">
        <v>43</v>
      </c>
      <c r="S21" t="s">
        <v>44</v>
      </c>
      <c r="T21" t="s">
        <v>44</v>
      </c>
      <c r="U21" t="s">
        <v>44</v>
      </c>
      <c r="V21" t="s">
        <v>45</v>
      </c>
      <c r="W21" t="s">
        <v>55</v>
      </c>
      <c r="X21" t="s">
        <v>47</v>
      </c>
      <c r="Z21">
        <v>200</v>
      </c>
      <c r="AA21" t="s">
        <v>44</v>
      </c>
      <c r="AB21">
        <v>0</v>
      </c>
      <c r="AD21">
        <v>2</v>
      </c>
      <c r="AE21">
        <v>0</v>
      </c>
      <c r="AF21">
        <v>0</v>
      </c>
      <c r="AG21">
        <v>0</v>
      </c>
      <c r="AH21">
        <v>0</v>
      </c>
      <c r="AI21">
        <v>0</v>
      </c>
    </row>
    <row r="22" hidden="1" spans="1:35">
      <c r="A22" t="s">
        <v>91</v>
      </c>
      <c r="B22" t="s">
        <v>92</v>
      </c>
      <c r="D22" t="s">
        <v>37</v>
      </c>
      <c r="F22">
        <v>1</v>
      </c>
      <c r="G22">
        <v>1</v>
      </c>
      <c r="K22">
        <v>1</v>
      </c>
      <c r="L22" t="s">
        <v>53</v>
      </c>
      <c r="M22">
        <v>20</v>
      </c>
      <c r="N22" t="s">
        <v>64</v>
      </c>
      <c r="O22">
        <v>20</v>
      </c>
      <c r="P22" t="s">
        <v>41</v>
      </c>
      <c r="Q22" t="s">
        <v>42</v>
      </c>
      <c r="R22" t="s">
        <v>43</v>
      </c>
      <c r="S22" t="s">
        <v>44</v>
      </c>
      <c r="T22" t="s">
        <v>44</v>
      </c>
      <c r="U22" t="s">
        <v>44</v>
      </c>
      <c r="V22" t="s">
        <v>45</v>
      </c>
      <c r="W22" t="s">
        <v>55</v>
      </c>
      <c r="X22" t="s">
        <v>47</v>
      </c>
      <c r="Z22">
        <v>500</v>
      </c>
      <c r="AA22" t="s">
        <v>44</v>
      </c>
      <c r="AB22">
        <v>0</v>
      </c>
      <c r="AD22">
        <v>2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>
      <c r="A23" t="s">
        <v>93</v>
      </c>
      <c r="B23" t="s">
        <v>94</v>
      </c>
      <c r="D23" t="s">
        <v>37</v>
      </c>
      <c r="F23">
        <v>1</v>
      </c>
      <c r="G23">
        <v>1</v>
      </c>
      <c r="H23" t="s">
        <v>38</v>
      </c>
      <c r="K23">
        <v>24</v>
      </c>
      <c r="L23" t="s">
        <v>39</v>
      </c>
      <c r="M23">
        <v>24</v>
      </c>
      <c r="N23" t="s">
        <v>40</v>
      </c>
      <c r="O23" s="2">
        <v>2400</v>
      </c>
      <c r="P23" t="s">
        <v>41</v>
      </c>
      <c r="Q23" t="s">
        <v>42</v>
      </c>
      <c r="R23" t="s">
        <v>43</v>
      </c>
      <c r="S23" t="s">
        <v>44</v>
      </c>
      <c r="T23" t="s">
        <v>44</v>
      </c>
      <c r="U23" t="s">
        <v>44</v>
      </c>
      <c r="V23" t="s">
        <v>45</v>
      </c>
      <c r="W23" t="s">
        <v>46</v>
      </c>
      <c r="X23" t="s">
        <v>47</v>
      </c>
      <c r="Z23">
        <v>60</v>
      </c>
      <c r="AA23" t="s">
        <v>44</v>
      </c>
      <c r="AB23">
        <v>0</v>
      </c>
      <c r="AD23">
        <v>2</v>
      </c>
      <c r="AE23">
        <v>31.5</v>
      </c>
      <c r="AF23">
        <v>19.8</v>
      </c>
      <c r="AG23">
        <v>17.6</v>
      </c>
      <c r="AH23">
        <v>0.01</v>
      </c>
      <c r="AI23">
        <v>2.61</v>
      </c>
    </row>
    <row r="24" spans="1:35">
      <c r="A24" t="s">
        <v>95</v>
      </c>
      <c r="B24" t="s">
        <v>96</v>
      </c>
      <c r="D24" t="s">
        <v>37</v>
      </c>
      <c r="F24">
        <v>1</v>
      </c>
      <c r="G24">
        <v>1</v>
      </c>
      <c r="H24" t="s">
        <v>38</v>
      </c>
      <c r="K24">
        <v>20</v>
      </c>
      <c r="L24" t="s">
        <v>39</v>
      </c>
      <c r="M24">
        <v>20</v>
      </c>
      <c r="N24" t="s">
        <v>50</v>
      </c>
      <c r="O24" s="2">
        <v>2000</v>
      </c>
      <c r="P24" t="s">
        <v>41</v>
      </c>
      <c r="Q24" t="s">
        <v>42</v>
      </c>
      <c r="R24" t="s">
        <v>43</v>
      </c>
      <c r="S24" t="s">
        <v>44</v>
      </c>
      <c r="T24" t="s">
        <v>44</v>
      </c>
      <c r="U24" t="s">
        <v>44</v>
      </c>
      <c r="V24" t="s">
        <v>45</v>
      </c>
      <c r="W24" t="s">
        <v>46</v>
      </c>
      <c r="X24" t="s">
        <v>47</v>
      </c>
      <c r="Z24">
        <v>50</v>
      </c>
      <c r="AA24" t="s">
        <v>44</v>
      </c>
      <c r="AB24">
        <v>0</v>
      </c>
      <c r="AD24">
        <v>2</v>
      </c>
      <c r="AE24">
        <v>28</v>
      </c>
      <c r="AF24">
        <v>21.4</v>
      </c>
      <c r="AG24">
        <v>27.4</v>
      </c>
      <c r="AH24">
        <v>0.02</v>
      </c>
      <c r="AI24">
        <v>2.09</v>
      </c>
    </row>
    <row r="25" hidden="1" spans="1:35">
      <c r="A25" t="s">
        <v>97</v>
      </c>
      <c r="B25" t="s">
        <v>98</v>
      </c>
      <c r="D25" t="s">
        <v>37</v>
      </c>
      <c r="F25">
        <v>1</v>
      </c>
      <c r="G25">
        <v>1</v>
      </c>
      <c r="K25">
        <v>1</v>
      </c>
      <c r="L25" t="s">
        <v>53</v>
      </c>
      <c r="M25">
        <v>10</v>
      </c>
      <c r="N25" t="s">
        <v>54</v>
      </c>
      <c r="O25">
        <v>10</v>
      </c>
      <c r="P25" t="s">
        <v>41</v>
      </c>
      <c r="Q25" t="s">
        <v>42</v>
      </c>
      <c r="R25" t="s">
        <v>43</v>
      </c>
      <c r="S25" t="s">
        <v>44</v>
      </c>
      <c r="T25" t="s">
        <v>44</v>
      </c>
      <c r="U25" t="s">
        <v>44</v>
      </c>
      <c r="V25" t="s">
        <v>45</v>
      </c>
      <c r="W25" t="s">
        <v>55</v>
      </c>
      <c r="X25" t="s">
        <v>47</v>
      </c>
      <c r="Z25" s="2">
        <v>1000</v>
      </c>
      <c r="AA25" t="s">
        <v>44</v>
      </c>
      <c r="AB25">
        <v>0</v>
      </c>
      <c r="AD25">
        <v>2</v>
      </c>
      <c r="AE25">
        <v>0</v>
      </c>
      <c r="AF25">
        <v>0</v>
      </c>
      <c r="AG25">
        <v>0</v>
      </c>
      <c r="AH25">
        <v>0</v>
      </c>
      <c r="AI25">
        <v>0</v>
      </c>
    </row>
    <row r="26" hidden="1" spans="1:35">
      <c r="A26" t="s">
        <v>99</v>
      </c>
      <c r="B26" t="s">
        <v>100</v>
      </c>
      <c r="D26" t="s">
        <v>37</v>
      </c>
      <c r="F26">
        <v>1</v>
      </c>
      <c r="G26">
        <v>1</v>
      </c>
      <c r="K26">
        <v>1</v>
      </c>
      <c r="L26" t="s">
        <v>58</v>
      </c>
      <c r="M26">
        <v>36</v>
      </c>
      <c r="N26" t="s">
        <v>59</v>
      </c>
      <c r="O26" s="2">
        <v>3600</v>
      </c>
      <c r="P26" t="s">
        <v>41</v>
      </c>
      <c r="Q26" t="s">
        <v>42</v>
      </c>
      <c r="R26" t="s">
        <v>43</v>
      </c>
      <c r="S26" t="s">
        <v>44</v>
      </c>
      <c r="T26" t="s">
        <v>44</v>
      </c>
      <c r="U26" t="s">
        <v>44</v>
      </c>
      <c r="V26" t="s">
        <v>45</v>
      </c>
      <c r="W26" t="s">
        <v>55</v>
      </c>
      <c r="X26" t="s">
        <v>47</v>
      </c>
      <c r="Z26">
        <v>200</v>
      </c>
      <c r="AA26" t="s">
        <v>44</v>
      </c>
      <c r="AB26">
        <v>0</v>
      </c>
      <c r="AD26">
        <v>2</v>
      </c>
      <c r="AE26">
        <v>0</v>
      </c>
      <c r="AF26">
        <v>0</v>
      </c>
      <c r="AG26">
        <v>0</v>
      </c>
      <c r="AH26">
        <v>0</v>
      </c>
      <c r="AI26">
        <v>0</v>
      </c>
    </row>
    <row r="27" hidden="1" spans="1:35">
      <c r="A27" t="s">
        <v>101</v>
      </c>
      <c r="B27" t="s">
        <v>100</v>
      </c>
      <c r="D27" t="s">
        <v>37</v>
      </c>
      <c r="F27">
        <v>1</v>
      </c>
      <c r="G27">
        <v>1</v>
      </c>
      <c r="K27">
        <v>1</v>
      </c>
      <c r="L27" t="s">
        <v>58</v>
      </c>
      <c r="M27">
        <v>12</v>
      </c>
      <c r="N27" t="s">
        <v>61</v>
      </c>
      <c r="O27" s="2">
        <v>1200</v>
      </c>
      <c r="P27" t="s">
        <v>41</v>
      </c>
      <c r="Q27" t="s">
        <v>42</v>
      </c>
      <c r="R27" t="s">
        <v>43</v>
      </c>
      <c r="S27" t="s">
        <v>44</v>
      </c>
      <c r="T27" t="s">
        <v>44</v>
      </c>
      <c r="U27" t="s">
        <v>44</v>
      </c>
      <c r="V27" t="s">
        <v>45</v>
      </c>
      <c r="W27" t="s">
        <v>55</v>
      </c>
      <c r="X27" t="s">
        <v>47</v>
      </c>
      <c r="Z27">
        <v>200</v>
      </c>
      <c r="AA27" t="s">
        <v>44</v>
      </c>
      <c r="AB27">
        <v>0</v>
      </c>
      <c r="AD27">
        <v>2</v>
      </c>
      <c r="AE27">
        <v>0</v>
      </c>
      <c r="AF27">
        <v>0</v>
      </c>
      <c r="AG27">
        <v>0</v>
      </c>
      <c r="AH27">
        <v>0</v>
      </c>
      <c r="AI27">
        <v>0</v>
      </c>
    </row>
    <row r="28" hidden="1" spans="1:35">
      <c r="A28" t="s">
        <v>102</v>
      </c>
      <c r="B28" t="s">
        <v>103</v>
      </c>
      <c r="D28" t="s">
        <v>37</v>
      </c>
      <c r="F28">
        <v>1</v>
      </c>
      <c r="G28">
        <v>1</v>
      </c>
      <c r="K28">
        <v>1</v>
      </c>
      <c r="L28" t="s">
        <v>53</v>
      </c>
      <c r="M28">
        <v>20</v>
      </c>
      <c r="N28" t="s">
        <v>64</v>
      </c>
      <c r="O28">
        <v>20</v>
      </c>
      <c r="P28" t="s">
        <v>41</v>
      </c>
      <c r="Q28" t="s">
        <v>42</v>
      </c>
      <c r="R28" t="s">
        <v>43</v>
      </c>
      <c r="S28" t="s">
        <v>44</v>
      </c>
      <c r="T28" t="s">
        <v>44</v>
      </c>
      <c r="U28" t="s">
        <v>44</v>
      </c>
      <c r="V28" t="s">
        <v>45</v>
      </c>
      <c r="W28" t="s">
        <v>55</v>
      </c>
      <c r="X28" t="s">
        <v>47</v>
      </c>
      <c r="Z28">
        <v>500</v>
      </c>
      <c r="AA28" t="s">
        <v>44</v>
      </c>
      <c r="AB28">
        <v>0</v>
      </c>
      <c r="AD28">
        <v>2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>
      <c r="A29" t="s">
        <v>104</v>
      </c>
      <c r="B29" t="s">
        <v>105</v>
      </c>
      <c r="D29" t="s">
        <v>37</v>
      </c>
      <c r="F29">
        <v>1</v>
      </c>
      <c r="G29">
        <v>1</v>
      </c>
      <c r="H29" t="s">
        <v>38</v>
      </c>
      <c r="K29">
        <v>10</v>
      </c>
      <c r="L29" t="s">
        <v>53</v>
      </c>
      <c r="M29">
        <v>10</v>
      </c>
      <c r="N29" t="s">
        <v>54</v>
      </c>
      <c r="O29" s="2">
        <v>1000</v>
      </c>
      <c r="P29" t="s">
        <v>41</v>
      </c>
      <c r="Q29" t="s">
        <v>42</v>
      </c>
      <c r="R29" t="s">
        <v>43</v>
      </c>
      <c r="S29" t="s">
        <v>44</v>
      </c>
      <c r="T29" t="s">
        <v>44</v>
      </c>
      <c r="U29" t="s">
        <v>44</v>
      </c>
      <c r="V29" t="s">
        <v>106</v>
      </c>
      <c r="W29" t="s">
        <v>107</v>
      </c>
      <c r="X29" t="s">
        <v>108</v>
      </c>
      <c r="Z29">
        <v>250</v>
      </c>
      <c r="AA29" t="s">
        <v>44</v>
      </c>
      <c r="AB29">
        <v>142</v>
      </c>
      <c r="AD29">
        <v>2</v>
      </c>
      <c r="AE29">
        <v>38.4</v>
      </c>
      <c r="AF29">
        <v>24.1</v>
      </c>
      <c r="AG29">
        <v>12.1</v>
      </c>
      <c r="AH29">
        <v>0.01</v>
      </c>
      <c r="AI29">
        <v>2.91</v>
      </c>
    </row>
    <row r="30" hidden="1" spans="1:35">
      <c r="A30" t="s">
        <v>109</v>
      </c>
      <c r="B30" t="s">
        <v>110</v>
      </c>
      <c r="D30" t="s">
        <v>37</v>
      </c>
      <c r="F30">
        <v>1</v>
      </c>
      <c r="G30">
        <v>1</v>
      </c>
      <c r="K30">
        <v>1</v>
      </c>
      <c r="L30" t="s">
        <v>53</v>
      </c>
      <c r="M30">
        <v>10</v>
      </c>
      <c r="N30" t="s">
        <v>54</v>
      </c>
      <c r="O30" s="2">
        <v>1000</v>
      </c>
      <c r="P30" t="s">
        <v>41</v>
      </c>
      <c r="Q30" t="s">
        <v>42</v>
      </c>
      <c r="R30" t="s">
        <v>43</v>
      </c>
      <c r="S30" t="s">
        <v>44</v>
      </c>
      <c r="T30" t="s">
        <v>44</v>
      </c>
      <c r="U30" t="s">
        <v>44</v>
      </c>
      <c r="V30" t="s">
        <v>106</v>
      </c>
      <c r="W30" t="s">
        <v>107</v>
      </c>
      <c r="X30" t="s">
        <v>108</v>
      </c>
      <c r="Z30">
        <v>250</v>
      </c>
      <c r="AA30" t="s">
        <v>44</v>
      </c>
      <c r="AB30">
        <v>0</v>
      </c>
      <c r="AD30">
        <v>2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>
      <c r="A31" t="s">
        <v>111</v>
      </c>
      <c r="B31" t="s">
        <v>112</v>
      </c>
      <c r="D31" t="s">
        <v>37</v>
      </c>
      <c r="F31">
        <v>1</v>
      </c>
      <c r="G31">
        <v>1</v>
      </c>
      <c r="H31" t="s">
        <v>38</v>
      </c>
      <c r="K31">
        <v>5</v>
      </c>
      <c r="L31" t="s">
        <v>53</v>
      </c>
      <c r="M31">
        <v>5</v>
      </c>
      <c r="N31" t="s">
        <v>113</v>
      </c>
      <c r="O31">
        <v>500</v>
      </c>
      <c r="P31" t="s">
        <v>41</v>
      </c>
      <c r="Q31" t="s">
        <v>42</v>
      </c>
      <c r="R31" t="s">
        <v>43</v>
      </c>
      <c r="S31" t="s">
        <v>44</v>
      </c>
      <c r="T31" t="s">
        <v>44</v>
      </c>
      <c r="U31" t="s">
        <v>44</v>
      </c>
      <c r="V31" t="s">
        <v>106</v>
      </c>
      <c r="W31" t="s">
        <v>107</v>
      </c>
      <c r="X31" t="s">
        <v>108</v>
      </c>
      <c r="Z31">
        <v>500</v>
      </c>
      <c r="AA31" t="s">
        <v>44</v>
      </c>
      <c r="AB31">
        <v>102</v>
      </c>
      <c r="AD31">
        <v>2</v>
      </c>
      <c r="AE31">
        <v>38.4</v>
      </c>
      <c r="AF31">
        <v>24.1</v>
      </c>
      <c r="AG31">
        <v>12.1</v>
      </c>
      <c r="AH31">
        <v>0.01</v>
      </c>
      <c r="AI31">
        <v>2.9</v>
      </c>
    </row>
    <row r="32" spans="1:35">
      <c r="A32" t="s">
        <v>114</v>
      </c>
      <c r="B32" t="s">
        <v>115</v>
      </c>
      <c r="D32" t="s">
        <v>37</v>
      </c>
      <c r="F32">
        <v>1</v>
      </c>
      <c r="G32">
        <v>1</v>
      </c>
      <c r="H32" t="s">
        <v>38</v>
      </c>
      <c r="K32">
        <v>5</v>
      </c>
      <c r="L32" t="s">
        <v>53</v>
      </c>
      <c r="M32">
        <v>5</v>
      </c>
      <c r="N32" t="s">
        <v>113</v>
      </c>
      <c r="O32">
        <v>500</v>
      </c>
      <c r="P32" t="s">
        <v>41</v>
      </c>
      <c r="Q32" t="s">
        <v>42</v>
      </c>
      <c r="R32" t="s">
        <v>43</v>
      </c>
      <c r="S32" t="s">
        <v>44</v>
      </c>
      <c r="T32" t="s">
        <v>44</v>
      </c>
      <c r="U32" t="s">
        <v>44</v>
      </c>
      <c r="V32" t="s">
        <v>106</v>
      </c>
      <c r="W32" t="s">
        <v>107</v>
      </c>
      <c r="X32" t="s">
        <v>108</v>
      </c>
      <c r="Z32">
        <v>500</v>
      </c>
      <c r="AA32" t="s">
        <v>44</v>
      </c>
      <c r="AB32">
        <v>0</v>
      </c>
      <c r="AD32">
        <v>2</v>
      </c>
      <c r="AE32">
        <v>38.4</v>
      </c>
      <c r="AF32">
        <v>24.1</v>
      </c>
      <c r="AG32">
        <v>12.1</v>
      </c>
      <c r="AH32">
        <v>0.01</v>
      </c>
      <c r="AI32">
        <v>2.9</v>
      </c>
    </row>
    <row r="33" spans="1:35">
      <c r="A33" t="s">
        <v>116</v>
      </c>
      <c r="B33" t="s">
        <v>117</v>
      </c>
      <c r="D33" t="s">
        <v>37</v>
      </c>
      <c r="F33">
        <v>1</v>
      </c>
      <c r="G33">
        <v>1</v>
      </c>
      <c r="H33" t="s">
        <v>38</v>
      </c>
      <c r="I33" t="str">
        <f>IF(ISNUMBER(SEARCH("Renceng",J33)),(K33/10)," ")</f>
        <v> </v>
      </c>
      <c r="J33" t="str">
        <f>IF(ISNUMBER(SEARCH("Rtg",B33)),"Renceng"," ")</f>
        <v> </v>
      </c>
      <c r="K33">
        <v>5</v>
      </c>
      <c r="L33" t="s">
        <v>53</v>
      </c>
      <c r="M33">
        <v>5</v>
      </c>
      <c r="N33" t="s">
        <v>113</v>
      </c>
      <c r="O33">
        <v>500</v>
      </c>
      <c r="P33" t="s">
        <v>41</v>
      </c>
      <c r="Q33" t="s">
        <v>42</v>
      </c>
      <c r="R33" t="s">
        <v>43</v>
      </c>
      <c r="S33" t="s">
        <v>44</v>
      </c>
      <c r="T33" t="s">
        <v>44</v>
      </c>
      <c r="U33" t="s">
        <v>44</v>
      </c>
      <c r="V33" t="s">
        <v>106</v>
      </c>
      <c r="W33" t="s">
        <v>107</v>
      </c>
      <c r="X33" t="s">
        <v>108</v>
      </c>
      <c r="Z33">
        <v>500</v>
      </c>
      <c r="AA33" t="s">
        <v>44</v>
      </c>
      <c r="AB33">
        <v>0</v>
      </c>
      <c r="AD33">
        <v>2</v>
      </c>
      <c r="AE33">
        <v>38.4</v>
      </c>
      <c r="AF33">
        <v>24.1</v>
      </c>
      <c r="AG33">
        <v>12.1</v>
      </c>
      <c r="AH33">
        <v>0.01</v>
      </c>
      <c r="AI33">
        <v>2.5</v>
      </c>
    </row>
    <row r="34" spans="1:35">
      <c r="A34" t="s">
        <v>118</v>
      </c>
      <c r="B34" t="s">
        <v>119</v>
      </c>
      <c r="D34" t="s">
        <v>37</v>
      </c>
      <c r="F34">
        <v>1</v>
      </c>
      <c r="G34">
        <v>1</v>
      </c>
      <c r="H34" t="s">
        <v>38</v>
      </c>
      <c r="I34" s="1">
        <f t="shared" ref="I34:I37" si="0">IF(J34="Renceng",(M34/10),(M34/15))</f>
        <v>8</v>
      </c>
      <c r="J34" t="str">
        <f>IF(N34="SACHET80","Renceng",IF(N34="SACHET120","RencengBNS"," "))</f>
        <v>Renceng</v>
      </c>
      <c r="K34">
        <v>80</v>
      </c>
      <c r="L34" t="s">
        <v>120</v>
      </c>
      <c r="M34">
        <v>80</v>
      </c>
      <c r="N34" t="s">
        <v>121</v>
      </c>
      <c r="O34" s="2">
        <v>8000</v>
      </c>
      <c r="P34" t="s">
        <v>41</v>
      </c>
      <c r="Q34" t="s">
        <v>42</v>
      </c>
      <c r="R34" t="s">
        <v>43</v>
      </c>
      <c r="S34" t="s">
        <v>44</v>
      </c>
      <c r="T34" t="s">
        <v>44</v>
      </c>
      <c r="U34" t="s">
        <v>44</v>
      </c>
      <c r="V34" t="s">
        <v>106</v>
      </c>
      <c r="W34" t="s">
        <v>107</v>
      </c>
      <c r="X34" t="s">
        <v>108</v>
      </c>
      <c r="Z34">
        <v>25</v>
      </c>
      <c r="AA34" t="s">
        <v>44</v>
      </c>
      <c r="AB34" s="2">
        <v>1010</v>
      </c>
      <c r="AD34">
        <v>2</v>
      </c>
      <c r="AE34">
        <v>38.4</v>
      </c>
      <c r="AF34">
        <v>24.1</v>
      </c>
      <c r="AG34">
        <v>12.1</v>
      </c>
      <c r="AH34">
        <v>0.01</v>
      </c>
      <c r="AI34">
        <v>2.36</v>
      </c>
    </row>
    <row r="35" spans="1:35">
      <c r="A35" t="s">
        <v>122</v>
      </c>
      <c r="B35" t="s">
        <v>123</v>
      </c>
      <c r="D35" t="s">
        <v>37</v>
      </c>
      <c r="F35">
        <v>1</v>
      </c>
      <c r="G35">
        <v>1</v>
      </c>
      <c r="H35" t="s">
        <v>38</v>
      </c>
      <c r="I35" s="1">
        <f t="shared" si="0"/>
        <v>8</v>
      </c>
      <c r="J35" t="str">
        <f>IF(N35="SACHET80","Renceng",IF(N35="SACHET120","RencengBNS"," "))</f>
        <v>Renceng</v>
      </c>
      <c r="K35">
        <v>80</v>
      </c>
      <c r="L35" t="s">
        <v>120</v>
      </c>
      <c r="M35">
        <v>80</v>
      </c>
      <c r="N35" t="s">
        <v>121</v>
      </c>
      <c r="O35" s="2">
        <v>8000</v>
      </c>
      <c r="P35" t="s">
        <v>41</v>
      </c>
      <c r="Q35" t="s">
        <v>42</v>
      </c>
      <c r="R35" t="s">
        <v>43</v>
      </c>
      <c r="S35" t="s">
        <v>44</v>
      </c>
      <c r="T35" t="s">
        <v>44</v>
      </c>
      <c r="U35" t="s">
        <v>44</v>
      </c>
      <c r="V35" t="s">
        <v>106</v>
      </c>
      <c r="W35" t="s">
        <v>107</v>
      </c>
      <c r="X35" t="s">
        <v>108</v>
      </c>
      <c r="Z35">
        <v>25</v>
      </c>
      <c r="AA35" t="s">
        <v>44</v>
      </c>
      <c r="AB35">
        <v>0</v>
      </c>
      <c r="AD35">
        <v>2</v>
      </c>
      <c r="AE35">
        <v>38.4</v>
      </c>
      <c r="AF35">
        <v>24.1</v>
      </c>
      <c r="AG35">
        <v>12.1</v>
      </c>
      <c r="AH35">
        <v>0.01</v>
      </c>
      <c r="AI35">
        <v>2.34</v>
      </c>
    </row>
    <row r="36" hidden="1" spans="1:35">
      <c r="A36" s="1" t="s">
        <v>124</v>
      </c>
      <c r="B36" s="1" t="s">
        <v>125</v>
      </c>
      <c r="D36" s="1" t="s">
        <v>37</v>
      </c>
      <c r="F36" s="1">
        <v>1</v>
      </c>
      <c r="G36" s="1">
        <v>1</v>
      </c>
      <c r="H36" s="1"/>
      <c r="I36" s="1"/>
      <c r="J36" s="1"/>
      <c r="K36" s="1">
        <v>1</v>
      </c>
      <c r="L36" s="1" t="s">
        <v>120</v>
      </c>
      <c r="M36" s="1">
        <v>96</v>
      </c>
      <c r="N36" s="1" t="s">
        <v>126</v>
      </c>
      <c r="O36" s="1">
        <v>1</v>
      </c>
      <c r="P36" s="1" t="s">
        <v>41</v>
      </c>
      <c r="Q36" s="1" t="s">
        <v>42</v>
      </c>
      <c r="R36" s="1" t="s">
        <v>43</v>
      </c>
      <c r="S36" s="1" t="s">
        <v>44</v>
      </c>
      <c r="T36" s="1" t="s">
        <v>44</v>
      </c>
      <c r="U36" s="1" t="s">
        <v>44</v>
      </c>
      <c r="V36" s="1" t="s">
        <v>106</v>
      </c>
      <c r="W36" s="1" t="s">
        <v>107</v>
      </c>
      <c r="X36" s="1" t="s">
        <v>108</v>
      </c>
      <c r="Z36" s="1">
        <v>25</v>
      </c>
      <c r="AA36" s="1" t="s">
        <v>44</v>
      </c>
      <c r="AB36" s="1">
        <v>0</v>
      </c>
      <c r="AD36" s="1">
        <v>2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</row>
    <row r="37" spans="1:35">
      <c r="A37" s="1" t="s">
        <v>127</v>
      </c>
      <c r="B37" s="1" t="s">
        <v>128</v>
      </c>
      <c r="D37" s="1" t="s">
        <v>37</v>
      </c>
      <c r="F37" s="1">
        <v>1</v>
      </c>
      <c r="G37" s="1">
        <v>1</v>
      </c>
      <c r="H37" s="1" t="s">
        <v>38</v>
      </c>
      <c r="I37" s="1">
        <f>IF(J37="Renceng",(M37/10),(M37/15))</f>
        <v>8</v>
      </c>
      <c r="J37" s="1" t="str">
        <f>IF(N37="SACHET80","Renceng",IF(N37="SACHET120","RencengBNS"," "))</f>
        <v>Renceng</v>
      </c>
      <c r="K37" s="1">
        <v>80</v>
      </c>
      <c r="L37" s="1" t="s">
        <v>120</v>
      </c>
      <c r="M37" s="1">
        <v>80</v>
      </c>
      <c r="N37" s="1" t="s">
        <v>121</v>
      </c>
      <c r="O37" s="3">
        <v>8000</v>
      </c>
      <c r="P37" s="1" t="s">
        <v>41</v>
      </c>
      <c r="Q37" s="1" t="s">
        <v>42</v>
      </c>
      <c r="R37" s="1" t="s">
        <v>43</v>
      </c>
      <c r="S37" s="1" t="s">
        <v>44</v>
      </c>
      <c r="T37" s="1" t="s">
        <v>44</v>
      </c>
      <c r="U37" s="1" t="s">
        <v>44</v>
      </c>
      <c r="V37" s="1" t="s">
        <v>106</v>
      </c>
      <c r="W37" s="1" t="s">
        <v>107</v>
      </c>
      <c r="X37" s="1" t="s">
        <v>108</v>
      </c>
      <c r="Z37" s="1">
        <v>25</v>
      </c>
      <c r="AA37" s="1" t="s">
        <v>44</v>
      </c>
      <c r="AB37" s="1">
        <v>0</v>
      </c>
      <c r="AD37" s="1">
        <v>2</v>
      </c>
      <c r="AE37" s="1">
        <v>38.4</v>
      </c>
      <c r="AF37" s="1">
        <v>24.1</v>
      </c>
      <c r="AG37" s="1">
        <v>12.1</v>
      </c>
      <c r="AH37" s="1">
        <v>0.01</v>
      </c>
      <c r="AI37" s="1">
        <v>2.36</v>
      </c>
    </row>
    <row r="38" spans="1:35">
      <c r="A38" s="1" t="s">
        <v>129</v>
      </c>
      <c r="B38" s="1" t="s">
        <v>130</v>
      </c>
      <c r="D38" s="1" t="s">
        <v>37</v>
      </c>
      <c r="F38" s="1">
        <v>1</v>
      </c>
      <c r="G38" s="1">
        <v>1</v>
      </c>
      <c r="H38" t="s">
        <v>38</v>
      </c>
      <c r="I38">
        <f>IF(J38="Renceng",(M38/10),(M38/15))</f>
        <v>8</v>
      </c>
      <c r="J38" t="str">
        <f>IF(N38="SACHET80","Renceng",IF(N38="SACHET120","RencengBNS"," "))</f>
        <v>Renceng</v>
      </c>
      <c r="K38" s="1">
        <v>80</v>
      </c>
      <c r="L38" s="1" t="s">
        <v>120</v>
      </c>
      <c r="M38" s="1">
        <v>80</v>
      </c>
      <c r="N38" s="1" t="s">
        <v>121</v>
      </c>
      <c r="O38" s="3">
        <v>8000</v>
      </c>
      <c r="P38" s="1" t="s">
        <v>41</v>
      </c>
      <c r="Q38" s="1" t="s">
        <v>42</v>
      </c>
      <c r="R38" s="1" t="s">
        <v>43</v>
      </c>
      <c r="S38" s="1" t="s">
        <v>44</v>
      </c>
      <c r="T38" s="1" t="s">
        <v>44</v>
      </c>
      <c r="U38" s="1" t="s">
        <v>44</v>
      </c>
      <c r="V38" s="1" t="s">
        <v>106</v>
      </c>
      <c r="W38" s="1" t="s">
        <v>107</v>
      </c>
      <c r="X38" s="1" t="s">
        <v>108</v>
      </c>
      <c r="Z38" s="1">
        <v>25</v>
      </c>
      <c r="AA38" s="1" t="s">
        <v>44</v>
      </c>
      <c r="AB38" s="1">
        <v>0</v>
      </c>
      <c r="AD38" s="1">
        <v>2</v>
      </c>
      <c r="AE38" s="1">
        <v>38.4</v>
      </c>
      <c r="AF38" s="1">
        <v>24.1</v>
      </c>
      <c r="AG38" s="1">
        <v>12.1</v>
      </c>
      <c r="AH38" s="1">
        <v>0.01</v>
      </c>
      <c r="AI38" s="1">
        <v>2.34</v>
      </c>
    </row>
    <row r="39" hidden="1" spans="1:35">
      <c r="A39" s="1" t="s">
        <v>131</v>
      </c>
      <c r="B39" s="1" t="s">
        <v>132</v>
      </c>
      <c r="D39" s="1" t="s">
        <v>37</v>
      </c>
      <c r="F39" s="1">
        <v>1</v>
      </c>
      <c r="G39" s="1">
        <v>1</v>
      </c>
      <c r="K39" s="1">
        <v>1</v>
      </c>
      <c r="L39" s="1" t="s">
        <v>120</v>
      </c>
      <c r="M39" s="1">
        <v>96</v>
      </c>
      <c r="N39" s="1" t="s">
        <v>126</v>
      </c>
      <c r="O39" s="1">
        <v>1</v>
      </c>
      <c r="P39" s="1" t="s">
        <v>41</v>
      </c>
      <c r="Q39" s="1" t="s">
        <v>42</v>
      </c>
      <c r="R39" s="1" t="s">
        <v>43</v>
      </c>
      <c r="S39" s="1" t="s">
        <v>44</v>
      </c>
      <c r="T39" s="1" t="s">
        <v>44</v>
      </c>
      <c r="U39" s="1" t="s">
        <v>44</v>
      </c>
      <c r="V39" s="1" t="s">
        <v>106</v>
      </c>
      <c r="W39" s="1" t="s">
        <v>107</v>
      </c>
      <c r="X39" s="1" t="s">
        <v>108</v>
      </c>
      <c r="Z39" s="1">
        <v>25</v>
      </c>
      <c r="AA39" s="1" t="s">
        <v>44</v>
      </c>
      <c r="AB39" s="1">
        <v>0</v>
      </c>
      <c r="AD39" s="1">
        <v>2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</row>
    <row r="40" hidden="1" spans="1:35">
      <c r="A40" t="s">
        <v>133</v>
      </c>
      <c r="B40" t="s">
        <v>134</v>
      </c>
      <c r="D40" t="s">
        <v>37</v>
      </c>
      <c r="F40">
        <v>1</v>
      </c>
      <c r="G40">
        <v>1</v>
      </c>
      <c r="H40" t="s">
        <v>135</v>
      </c>
      <c r="K40">
        <v>1</v>
      </c>
      <c r="L40" t="s">
        <v>135</v>
      </c>
      <c r="M40" t="s">
        <v>136</v>
      </c>
      <c r="N40" t="s">
        <v>136</v>
      </c>
      <c r="O40">
        <v>1</v>
      </c>
      <c r="P40" t="s">
        <v>41</v>
      </c>
      <c r="Q40" t="s">
        <v>42</v>
      </c>
      <c r="R40" t="s">
        <v>43</v>
      </c>
      <c r="S40" t="s">
        <v>44</v>
      </c>
      <c r="T40" t="s">
        <v>44</v>
      </c>
      <c r="U40" t="s">
        <v>44</v>
      </c>
      <c r="V40" t="s">
        <v>106</v>
      </c>
      <c r="W40" t="s">
        <v>107</v>
      </c>
      <c r="X40" t="s">
        <v>108</v>
      </c>
      <c r="Z40" s="2">
        <v>1000</v>
      </c>
      <c r="AA40" t="s">
        <v>44</v>
      </c>
      <c r="AB40">
        <v>0</v>
      </c>
      <c r="AD40">
        <v>2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>
      <c r="A41" t="s">
        <v>137</v>
      </c>
      <c r="B41" t="s">
        <v>138</v>
      </c>
      <c r="D41" t="s">
        <v>37</v>
      </c>
      <c r="F41">
        <v>1</v>
      </c>
      <c r="G41">
        <v>1</v>
      </c>
      <c r="H41" t="s">
        <v>38</v>
      </c>
      <c r="J41" t="str">
        <f t="shared" ref="J41:J47" si="1">IF(N41="SACHET80","Renceng",IF(N41="SACHET120","RencengBNS"," "))</f>
        <v> </v>
      </c>
      <c r="K41">
        <v>10</v>
      </c>
      <c r="L41" t="s">
        <v>53</v>
      </c>
      <c r="M41">
        <v>10</v>
      </c>
      <c r="N41" t="s">
        <v>54</v>
      </c>
      <c r="O41" s="2">
        <v>1000</v>
      </c>
      <c r="P41" t="s">
        <v>41</v>
      </c>
      <c r="Q41" t="s">
        <v>42</v>
      </c>
      <c r="R41" t="s">
        <v>43</v>
      </c>
      <c r="S41" t="s">
        <v>44</v>
      </c>
      <c r="T41" t="s">
        <v>44</v>
      </c>
      <c r="U41" t="s">
        <v>44</v>
      </c>
      <c r="V41" t="s">
        <v>106</v>
      </c>
      <c r="W41" t="s">
        <v>107</v>
      </c>
      <c r="X41" t="s">
        <v>108</v>
      </c>
      <c r="Z41">
        <v>250</v>
      </c>
      <c r="AA41" t="s">
        <v>44</v>
      </c>
      <c r="AB41">
        <v>248</v>
      </c>
      <c r="AD41">
        <v>2</v>
      </c>
      <c r="AE41">
        <v>38.4</v>
      </c>
      <c r="AF41">
        <v>24.1</v>
      </c>
      <c r="AG41">
        <v>12.11</v>
      </c>
      <c r="AH41">
        <v>0.01</v>
      </c>
      <c r="AI41">
        <v>2.91</v>
      </c>
    </row>
    <row r="42" hidden="1" spans="1:35">
      <c r="A42" t="s">
        <v>139</v>
      </c>
      <c r="B42" t="s">
        <v>140</v>
      </c>
      <c r="D42" t="s">
        <v>37</v>
      </c>
      <c r="F42">
        <v>1</v>
      </c>
      <c r="G42">
        <v>1</v>
      </c>
      <c r="K42">
        <v>1</v>
      </c>
      <c r="L42" t="s">
        <v>53</v>
      </c>
      <c r="M42">
        <v>10</v>
      </c>
      <c r="N42" t="s">
        <v>54</v>
      </c>
      <c r="O42" s="2">
        <v>1000</v>
      </c>
      <c r="P42" t="s">
        <v>41</v>
      </c>
      <c r="Q42" t="s">
        <v>42</v>
      </c>
      <c r="R42" t="s">
        <v>43</v>
      </c>
      <c r="S42" t="s">
        <v>44</v>
      </c>
      <c r="T42" t="s">
        <v>44</v>
      </c>
      <c r="U42" t="s">
        <v>44</v>
      </c>
      <c r="V42" t="s">
        <v>106</v>
      </c>
      <c r="W42" t="s">
        <v>107</v>
      </c>
      <c r="X42" t="s">
        <v>108</v>
      </c>
      <c r="Z42">
        <v>250</v>
      </c>
      <c r="AA42" t="s">
        <v>44</v>
      </c>
      <c r="AB42">
        <v>0</v>
      </c>
      <c r="AD42">
        <v>2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>
      <c r="A43" t="s">
        <v>141</v>
      </c>
      <c r="B43" t="s">
        <v>142</v>
      </c>
      <c r="D43" t="s">
        <v>37</v>
      </c>
      <c r="F43">
        <v>1</v>
      </c>
      <c r="G43">
        <v>1</v>
      </c>
      <c r="H43" t="s">
        <v>38</v>
      </c>
      <c r="J43" t="str">
        <f t="shared" si="1"/>
        <v> </v>
      </c>
      <c r="K43">
        <v>5</v>
      </c>
      <c r="L43" t="s">
        <v>53</v>
      </c>
      <c r="M43">
        <v>5</v>
      </c>
      <c r="N43" t="s">
        <v>113</v>
      </c>
      <c r="O43">
        <v>500</v>
      </c>
      <c r="P43" t="s">
        <v>41</v>
      </c>
      <c r="Q43" t="s">
        <v>42</v>
      </c>
      <c r="R43" t="s">
        <v>43</v>
      </c>
      <c r="S43" t="s">
        <v>44</v>
      </c>
      <c r="T43" t="s">
        <v>44</v>
      </c>
      <c r="U43" t="s">
        <v>44</v>
      </c>
      <c r="V43" t="s">
        <v>106</v>
      </c>
      <c r="W43" t="s">
        <v>107</v>
      </c>
      <c r="X43" t="s">
        <v>108</v>
      </c>
      <c r="Z43">
        <v>500</v>
      </c>
      <c r="AA43" t="s">
        <v>44</v>
      </c>
      <c r="AB43">
        <v>55</v>
      </c>
      <c r="AD43">
        <v>2</v>
      </c>
      <c r="AE43">
        <v>38.4</v>
      </c>
      <c r="AF43">
        <v>24.1</v>
      </c>
      <c r="AG43">
        <v>12.1</v>
      </c>
      <c r="AH43">
        <v>0.01</v>
      </c>
      <c r="AI43">
        <v>2.92</v>
      </c>
    </row>
    <row r="44" spans="1:35">
      <c r="A44" t="s">
        <v>143</v>
      </c>
      <c r="B44" t="s">
        <v>144</v>
      </c>
      <c r="D44" t="s">
        <v>37</v>
      </c>
      <c r="F44">
        <v>1</v>
      </c>
      <c r="G44">
        <v>1</v>
      </c>
      <c r="H44" t="s">
        <v>38</v>
      </c>
      <c r="J44" t="str">
        <f t="shared" si="1"/>
        <v> </v>
      </c>
      <c r="K44">
        <v>5</v>
      </c>
      <c r="L44" t="s">
        <v>53</v>
      </c>
      <c r="M44">
        <v>5</v>
      </c>
      <c r="N44" t="s">
        <v>113</v>
      </c>
      <c r="O44">
        <v>500</v>
      </c>
      <c r="P44" t="s">
        <v>41</v>
      </c>
      <c r="Q44" t="s">
        <v>42</v>
      </c>
      <c r="R44" t="s">
        <v>43</v>
      </c>
      <c r="S44" t="s">
        <v>44</v>
      </c>
      <c r="T44" t="s">
        <v>44</v>
      </c>
      <c r="U44" t="s">
        <v>44</v>
      </c>
      <c r="V44" t="s">
        <v>106</v>
      </c>
      <c r="W44" t="s">
        <v>107</v>
      </c>
      <c r="X44" t="s">
        <v>108</v>
      </c>
      <c r="Z44">
        <v>500</v>
      </c>
      <c r="AA44" t="s">
        <v>44</v>
      </c>
      <c r="AB44">
        <v>0</v>
      </c>
      <c r="AD44">
        <v>2</v>
      </c>
      <c r="AE44">
        <v>38.4</v>
      </c>
      <c r="AF44">
        <v>24.1</v>
      </c>
      <c r="AG44">
        <v>12.1</v>
      </c>
      <c r="AH44">
        <v>0.01</v>
      </c>
      <c r="AI44">
        <v>2.92</v>
      </c>
    </row>
    <row r="45" spans="1:35">
      <c r="A45" t="s">
        <v>145</v>
      </c>
      <c r="B45" t="s">
        <v>146</v>
      </c>
      <c r="D45" t="s">
        <v>37</v>
      </c>
      <c r="F45">
        <v>1</v>
      </c>
      <c r="G45">
        <v>1</v>
      </c>
      <c r="H45" t="s">
        <v>38</v>
      </c>
      <c r="I45" t="str">
        <f>IF(ISNUMBER(SEARCH("Renceng",J45)),(K45/10)," ")</f>
        <v> </v>
      </c>
      <c r="J45" t="str">
        <f t="shared" si="1"/>
        <v> </v>
      </c>
      <c r="K45">
        <v>5</v>
      </c>
      <c r="L45" t="s">
        <v>53</v>
      </c>
      <c r="M45">
        <v>5</v>
      </c>
      <c r="N45" t="s">
        <v>113</v>
      </c>
      <c r="O45">
        <v>500</v>
      </c>
      <c r="P45" t="s">
        <v>41</v>
      </c>
      <c r="Q45" t="s">
        <v>42</v>
      </c>
      <c r="R45" t="s">
        <v>43</v>
      </c>
      <c r="S45" t="s">
        <v>44</v>
      </c>
      <c r="T45" t="s">
        <v>44</v>
      </c>
      <c r="U45" t="s">
        <v>44</v>
      </c>
      <c r="V45" t="s">
        <v>106</v>
      </c>
      <c r="W45" t="s">
        <v>107</v>
      </c>
      <c r="X45" t="s">
        <v>108</v>
      </c>
      <c r="Z45">
        <v>500</v>
      </c>
      <c r="AA45" t="s">
        <v>44</v>
      </c>
      <c r="AB45">
        <v>0</v>
      </c>
      <c r="AD45">
        <v>2</v>
      </c>
      <c r="AE45">
        <v>38.4</v>
      </c>
      <c r="AF45">
        <v>24.1</v>
      </c>
      <c r="AG45">
        <v>12.1</v>
      </c>
      <c r="AH45">
        <v>0.01</v>
      </c>
      <c r="AI45">
        <v>2.94</v>
      </c>
    </row>
    <row r="46" spans="1:35">
      <c r="A46" s="1" t="s">
        <v>147</v>
      </c>
      <c r="B46" s="1" t="s">
        <v>148</v>
      </c>
      <c r="D46" s="1" t="s">
        <v>37</v>
      </c>
      <c r="F46" s="1">
        <v>1</v>
      </c>
      <c r="G46" s="1">
        <v>1</v>
      </c>
      <c r="H46" s="1" t="s">
        <v>38</v>
      </c>
      <c r="I46" s="1">
        <f t="shared" ref="I46:I51" si="2">IF(J46="Renceng",(M46/10),(M46/15))</f>
        <v>25</v>
      </c>
      <c r="J46" s="1" t="s">
        <v>149</v>
      </c>
      <c r="K46" s="1">
        <f t="shared" ref="K46:K51" si="3">M46/I46</f>
        <v>10</v>
      </c>
      <c r="L46" s="1" t="s">
        <v>120</v>
      </c>
      <c r="M46" s="1">
        <v>250</v>
      </c>
      <c r="N46" s="1" t="s">
        <v>150</v>
      </c>
      <c r="O46" s="3">
        <v>25000</v>
      </c>
      <c r="P46" s="1" t="s">
        <v>41</v>
      </c>
      <c r="Q46" s="1" t="s">
        <v>42</v>
      </c>
      <c r="R46" s="1" t="s">
        <v>43</v>
      </c>
      <c r="S46" s="1" t="s">
        <v>44</v>
      </c>
      <c r="T46" s="1" t="s">
        <v>44</v>
      </c>
      <c r="U46" s="1" t="s">
        <v>44</v>
      </c>
      <c r="V46" s="1" t="s">
        <v>45</v>
      </c>
      <c r="W46" s="1" t="s">
        <v>151</v>
      </c>
      <c r="X46" s="1" t="s">
        <v>152</v>
      </c>
      <c r="Z46" s="1">
        <v>25</v>
      </c>
      <c r="AA46" s="1" t="s">
        <v>44</v>
      </c>
      <c r="AB46" s="3">
        <v>1010</v>
      </c>
      <c r="AD46" s="1">
        <v>2</v>
      </c>
      <c r="AE46" s="1">
        <v>39.6</v>
      </c>
      <c r="AF46" s="1">
        <v>22</v>
      </c>
      <c r="AG46" s="1">
        <v>21</v>
      </c>
      <c r="AH46" s="1">
        <v>0.02</v>
      </c>
      <c r="AI46" s="3">
        <v>4140</v>
      </c>
    </row>
    <row r="47" spans="1:35">
      <c r="A47" s="1" t="s">
        <v>153</v>
      </c>
      <c r="B47" s="1" t="s">
        <v>154</v>
      </c>
      <c r="D47" s="1" t="s">
        <v>37</v>
      </c>
      <c r="F47" s="1">
        <v>1</v>
      </c>
      <c r="G47" s="1">
        <v>1</v>
      </c>
      <c r="H47" s="1" t="s">
        <v>38</v>
      </c>
      <c r="I47" s="1">
        <f t="shared" si="2"/>
        <v>25</v>
      </c>
      <c r="J47" s="1" t="s">
        <v>149</v>
      </c>
      <c r="K47" s="1">
        <f t="shared" si="3"/>
        <v>10</v>
      </c>
      <c r="L47" s="1" t="s">
        <v>120</v>
      </c>
      <c r="M47" s="1">
        <v>250</v>
      </c>
      <c r="N47" s="1" t="s">
        <v>150</v>
      </c>
      <c r="O47" s="3">
        <v>25000</v>
      </c>
      <c r="P47" s="1" t="s">
        <v>41</v>
      </c>
      <c r="Q47" s="1" t="s">
        <v>42</v>
      </c>
      <c r="R47" s="1" t="s">
        <v>43</v>
      </c>
      <c r="S47" s="1" t="s">
        <v>44</v>
      </c>
      <c r="T47" s="1" t="s">
        <v>44</v>
      </c>
      <c r="U47" s="1" t="s">
        <v>44</v>
      </c>
      <c r="V47" s="1" t="s">
        <v>45</v>
      </c>
      <c r="W47" s="1" t="s">
        <v>151</v>
      </c>
      <c r="X47" s="1" t="s">
        <v>152</v>
      </c>
      <c r="Z47" s="1">
        <v>20</v>
      </c>
      <c r="AA47" s="1" t="s">
        <v>44</v>
      </c>
      <c r="AB47" s="1">
        <v>520</v>
      </c>
      <c r="AD47" s="1">
        <v>2</v>
      </c>
      <c r="AE47" s="1">
        <v>35.8</v>
      </c>
      <c r="AF47" s="1">
        <v>31.7</v>
      </c>
      <c r="AG47" s="1">
        <v>20.9</v>
      </c>
      <c r="AH47" s="1">
        <v>0.02</v>
      </c>
      <c r="AI47" s="1">
        <v>5.47</v>
      </c>
    </row>
    <row r="48" spans="1:35">
      <c r="A48" s="1" t="s">
        <v>155</v>
      </c>
      <c r="B48" s="1" t="s">
        <v>156</v>
      </c>
      <c r="D48" s="1" t="s">
        <v>37</v>
      </c>
      <c r="F48" s="1">
        <v>1</v>
      </c>
      <c r="G48" s="1">
        <v>1</v>
      </c>
      <c r="H48" s="1" t="s">
        <v>38</v>
      </c>
      <c r="I48" s="1">
        <f t="shared" si="2"/>
        <v>25</v>
      </c>
      <c r="J48" s="1" t="s">
        <v>149</v>
      </c>
      <c r="K48" s="1">
        <f t="shared" si="3"/>
        <v>10</v>
      </c>
      <c r="L48" s="1" t="s">
        <v>120</v>
      </c>
      <c r="M48" s="1">
        <v>250</v>
      </c>
      <c r="N48" s="1" t="s">
        <v>150</v>
      </c>
      <c r="O48" s="3">
        <v>25000</v>
      </c>
      <c r="P48" s="1" t="s">
        <v>41</v>
      </c>
      <c r="Q48" s="1" t="s">
        <v>42</v>
      </c>
      <c r="R48" s="1" t="s">
        <v>43</v>
      </c>
      <c r="S48" s="1" t="s">
        <v>44</v>
      </c>
      <c r="T48" s="1" t="s">
        <v>44</v>
      </c>
      <c r="U48" s="1" t="s">
        <v>44</v>
      </c>
      <c r="V48" s="1" t="s">
        <v>45</v>
      </c>
      <c r="W48" s="1" t="s">
        <v>151</v>
      </c>
      <c r="X48" s="1" t="s">
        <v>152</v>
      </c>
      <c r="Z48" s="1">
        <v>20</v>
      </c>
      <c r="AA48" s="1" t="s">
        <v>44</v>
      </c>
      <c r="AB48" s="1">
        <v>0</v>
      </c>
      <c r="AD48" s="1">
        <v>2</v>
      </c>
      <c r="AE48" s="1">
        <v>39.6</v>
      </c>
      <c r="AF48" s="1">
        <v>22</v>
      </c>
      <c r="AG48" s="1">
        <v>21</v>
      </c>
      <c r="AH48" s="1">
        <v>0.02</v>
      </c>
      <c r="AI48" s="1">
        <v>3.66</v>
      </c>
    </row>
    <row r="49" spans="1:35">
      <c r="A49" s="1" t="s">
        <v>157</v>
      </c>
      <c r="B49" s="1" t="s">
        <v>158</v>
      </c>
      <c r="D49" s="1" t="s">
        <v>37</v>
      </c>
      <c r="F49" s="1">
        <v>1</v>
      </c>
      <c r="G49" s="1">
        <v>1</v>
      </c>
      <c r="H49" s="1" t="s">
        <v>38</v>
      </c>
      <c r="I49" s="1">
        <f t="shared" si="2"/>
        <v>25</v>
      </c>
      <c r="J49" s="1" t="s">
        <v>149</v>
      </c>
      <c r="K49" s="1">
        <f t="shared" si="3"/>
        <v>10</v>
      </c>
      <c r="L49" s="1" t="s">
        <v>120</v>
      </c>
      <c r="M49" s="1">
        <v>250</v>
      </c>
      <c r="N49" s="1" t="s">
        <v>150</v>
      </c>
      <c r="O49" s="3">
        <v>25000</v>
      </c>
      <c r="P49" s="1" t="s">
        <v>41</v>
      </c>
      <c r="Q49" s="1" t="s">
        <v>42</v>
      </c>
      <c r="R49" s="1" t="s">
        <v>43</v>
      </c>
      <c r="S49" s="1" t="s">
        <v>44</v>
      </c>
      <c r="T49" s="1" t="s">
        <v>44</v>
      </c>
      <c r="U49" s="1" t="s">
        <v>44</v>
      </c>
      <c r="V49" s="1" t="s">
        <v>45</v>
      </c>
      <c r="W49" s="1" t="s">
        <v>151</v>
      </c>
      <c r="X49" s="1" t="s">
        <v>152</v>
      </c>
      <c r="Z49" s="1">
        <v>20</v>
      </c>
      <c r="AA49" s="1" t="s">
        <v>44</v>
      </c>
      <c r="AB49" s="1">
        <v>0</v>
      </c>
      <c r="AD49" s="1">
        <v>2</v>
      </c>
      <c r="AE49" s="1">
        <v>36.7</v>
      </c>
      <c r="AF49" s="1">
        <v>31.6</v>
      </c>
      <c r="AG49" s="1">
        <v>16.9</v>
      </c>
      <c r="AH49" s="1">
        <v>0.02</v>
      </c>
      <c r="AI49" s="1">
        <v>4.75</v>
      </c>
    </row>
    <row r="50" spans="1:35">
      <c r="A50" s="1" t="s">
        <v>159</v>
      </c>
      <c r="B50" s="1" t="s">
        <v>160</v>
      </c>
      <c r="D50" s="1" t="s">
        <v>37</v>
      </c>
      <c r="F50" s="1">
        <v>1</v>
      </c>
      <c r="G50" s="1">
        <v>1</v>
      </c>
      <c r="H50" t="s">
        <v>38</v>
      </c>
      <c r="I50">
        <f t="shared" si="2"/>
        <v>25</v>
      </c>
      <c r="J50" t="s">
        <v>149</v>
      </c>
      <c r="K50" s="1">
        <f t="shared" si="3"/>
        <v>10</v>
      </c>
      <c r="L50" s="1" t="s">
        <v>120</v>
      </c>
      <c r="M50" s="1">
        <v>250</v>
      </c>
      <c r="N50" s="1" t="s">
        <v>150</v>
      </c>
      <c r="O50" s="3">
        <v>25000</v>
      </c>
      <c r="P50" s="1" t="s">
        <v>41</v>
      </c>
      <c r="Q50" s="1" t="s">
        <v>42</v>
      </c>
      <c r="R50" s="1" t="s">
        <v>43</v>
      </c>
      <c r="S50" s="1" t="s">
        <v>44</v>
      </c>
      <c r="T50" s="1" t="s">
        <v>44</v>
      </c>
      <c r="U50" s="1" t="s">
        <v>44</v>
      </c>
      <c r="V50" s="1" t="s">
        <v>161</v>
      </c>
      <c r="W50" s="1" t="s">
        <v>162</v>
      </c>
      <c r="X50" s="1" t="s">
        <v>163</v>
      </c>
      <c r="Z50" s="1">
        <v>20</v>
      </c>
      <c r="AA50" s="1" t="s">
        <v>44</v>
      </c>
      <c r="AB50" s="3">
        <v>8720</v>
      </c>
      <c r="AD50" s="1">
        <v>2</v>
      </c>
      <c r="AE50" s="1">
        <v>36.7</v>
      </c>
      <c r="AF50" s="1">
        <v>31.6</v>
      </c>
      <c r="AG50" s="1">
        <v>16.9</v>
      </c>
      <c r="AH50" s="1">
        <v>0.02</v>
      </c>
      <c r="AI50" s="1">
        <v>5.45</v>
      </c>
    </row>
    <row r="51" spans="1:35">
      <c r="A51" s="1" t="s">
        <v>164</v>
      </c>
      <c r="B51" s="1" t="s">
        <v>165</v>
      </c>
      <c r="D51" s="1" t="s">
        <v>37</v>
      </c>
      <c r="F51" s="1">
        <v>1</v>
      </c>
      <c r="G51" s="1">
        <v>1</v>
      </c>
      <c r="H51" t="s">
        <v>38</v>
      </c>
      <c r="I51">
        <f t="shared" si="2"/>
        <v>25</v>
      </c>
      <c r="J51" t="str">
        <f>IF(ISNUMBER(SEARCH("Rtg",B51)),"Renceng"," ")</f>
        <v>Renceng</v>
      </c>
      <c r="K51" s="1">
        <f t="shared" si="3"/>
        <v>10</v>
      </c>
      <c r="L51" s="1" t="s">
        <v>120</v>
      </c>
      <c r="M51" s="1">
        <v>250</v>
      </c>
      <c r="N51" s="1" t="s">
        <v>150</v>
      </c>
      <c r="O51" s="3">
        <v>25000</v>
      </c>
      <c r="P51" s="1" t="s">
        <v>41</v>
      </c>
      <c r="Q51" s="1" t="s">
        <v>42</v>
      </c>
      <c r="R51" s="1" t="s">
        <v>43</v>
      </c>
      <c r="S51" s="1" t="s">
        <v>44</v>
      </c>
      <c r="T51" s="1" t="s">
        <v>44</v>
      </c>
      <c r="U51" s="1" t="s">
        <v>44</v>
      </c>
      <c r="V51" s="1" t="s">
        <v>161</v>
      </c>
      <c r="W51" s="1" t="s">
        <v>162</v>
      </c>
      <c r="X51" s="1" t="s">
        <v>163</v>
      </c>
      <c r="Z51" s="1">
        <v>20</v>
      </c>
      <c r="AA51" s="1" t="s">
        <v>44</v>
      </c>
      <c r="AB51" s="1">
        <v>0</v>
      </c>
      <c r="AD51" s="1">
        <v>2</v>
      </c>
      <c r="AE51" s="1">
        <v>39.5</v>
      </c>
      <c r="AF51" s="1">
        <v>28</v>
      </c>
      <c r="AG51" s="1">
        <v>22.6</v>
      </c>
      <c r="AH51" s="1">
        <v>0.02</v>
      </c>
      <c r="AI51" s="1">
        <v>5.25</v>
      </c>
    </row>
    <row r="52" hidden="1" spans="1:35">
      <c r="A52" t="s">
        <v>166</v>
      </c>
      <c r="B52" t="s">
        <v>167</v>
      </c>
      <c r="D52" t="s">
        <v>37</v>
      </c>
      <c r="F52">
        <v>1</v>
      </c>
      <c r="G52">
        <v>1</v>
      </c>
      <c r="K52">
        <v>1</v>
      </c>
      <c r="L52" t="s">
        <v>53</v>
      </c>
      <c r="M52">
        <v>10</v>
      </c>
      <c r="N52" t="s">
        <v>54</v>
      </c>
      <c r="O52">
        <v>10</v>
      </c>
      <c r="P52" t="s">
        <v>41</v>
      </c>
      <c r="Q52" t="s">
        <v>42</v>
      </c>
      <c r="R52" t="s">
        <v>43</v>
      </c>
      <c r="S52" t="s">
        <v>44</v>
      </c>
      <c r="T52" t="s">
        <v>44</v>
      </c>
      <c r="U52" t="s">
        <v>44</v>
      </c>
      <c r="V52" t="s">
        <v>162</v>
      </c>
      <c r="W52" t="s">
        <v>162</v>
      </c>
      <c r="Z52">
        <v>750</v>
      </c>
      <c r="AA52" t="s">
        <v>44</v>
      </c>
      <c r="AB52">
        <v>0</v>
      </c>
      <c r="AD52">
        <v>2</v>
      </c>
      <c r="AE52">
        <v>0</v>
      </c>
      <c r="AF52">
        <v>0</v>
      </c>
      <c r="AG52">
        <v>0</v>
      </c>
      <c r="AH52">
        <v>0</v>
      </c>
      <c r="AI52">
        <v>0</v>
      </c>
    </row>
    <row r="53" hidden="1" spans="1:35">
      <c r="A53" s="1" t="s">
        <v>168</v>
      </c>
      <c r="B53" s="1" t="s">
        <v>169</v>
      </c>
      <c r="D53" s="1" t="s">
        <v>37</v>
      </c>
      <c r="F53" s="1">
        <v>1</v>
      </c>
      <c r="G53" s="1">
        <v>1</v>
      </c>
      <c r="H53" s="1"/>
      <c r="K53" s="1">
        <v>1</v>
      </c>
      <c r="L53" s="1" t="s">
        <v>120</v>
      </c>
      <c r="M53" s="1">
        <v>250</v>
      </c>
      <c r="N53" s="1" t="s">
        <v>150</v>
      </c>
      <c r="O53" s="1">
        <v>1</v>
      </c>
      <c r="P53" s="1" t="s">
        <v>41</v>
      </c>
      <c r="Q53" s="1" t="s">
        <v>42</v>
      </c>
      <c r="R53" s="1" t="s">
        <v>43</v>
      </c>
      <c r="S53" s="1" t="s">
        <v>44</v>
      </c>
      <c r="T53" s="1" t="s">
        <v>44</v>
      </c>
      <c r="U53" s="1" t="s">
        <v>44</v>
      </c>
      <c r="V53" s="1" t="s">
        <v>161</v>
      </c>
      <c r="W53" s="1" t="s">
        <v>162</v>
      </c>
      <c r="X53" s="1" t="s">
        <v>163</v>
      </c>
      <c r="Z53" s="1">
        <v>20</v>
      </c>
      <c r="AA53" s="1" t="s">
        <v>44</v>
      </c>
      <c r="AB53" s="1">
        <v>0</v>
      </c>
      <c r="AD53">
        <v>2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</row>
    <row r="54" spans="1:35">
      <c r="A54" s="1" t="s">
        <v>170</v>
      </c>
      <c r="B54" s="1" t="s">
        <v>171</v>
      </c>
      <c r="D54" s="1" t="s">
        <v>37</v>
      </c>
      <c r="E54" s="1"/>
      <c r="F54" s="1">
        <v>1</v>
      </c>
      <c r="G54" s="1">
        <v>1</v>
      </c>
      <c r="H54" s="1" t="s">
        <v>38</v>
      </c>
      <c r="I54" s="1">
        <f>IF(J54="Renceng",(M54/10),(M54/15))</f>
        <v>25</v>
      </c>
      <c r="J54" s="1" t="s">
        <v>149</v>
      </c>
      <c r="K54" s="1">
        <f>M54/I54</f>
        <v>10</v>
      </c>
      <c r="L54" s="1" t="s">
        <v>120</v>
      </c>
      <c r="M54" s="1">
        <v>250</v>
      </c>
      <c r="N54" s="1" t="s">
        <v>150</v>
      </c>
      <c r="O54" s="3">
        <v>25000</v>
      </c>
      <c r="P54" s="1" t="s">
        <v>41</v>
      </c>
      <c r="Q54" s="1" t="s">
        <v>42</v>
      </c>
      <c r="R54" s="1" t="s">
        <v>43</v>
      </c>
      <c r="S54" s="1" t="s">
        <v>44</v>
      </c>
      <c r="T54" s="1" t="s">
        <v>44</v>
      </c>
      <c r="U54" s="1" t="s">
        <v>44</v>
      </c>
      <c r="V54" s="1" t="s">
        <v>161</v>
      </c>
      <c r="W54" s="1" t="s">
        <v>162</v>
      </c>
      <c r="X54" s="1" t="s">
        <v>163</v>
      </c>
      <c r="Z54" s="1">
        <v>20</v>
      </c>
      <c r="AA54" s="1" t="s">
        <v>44</v>
      </c>
      <c r="AB54" s="3">
        <v>8000</v>
      </c>
      <c r="AD54">
        <v>2</v>
      </c>
      <c r="AE54" s="1">
        <v>32.5</v>
      </c>
      <c r="AF54" s="1">
        <v>16.5</v>
      </c>
      <c r="AG54" s="1">
        <v>23.5</v>
      </c>
      <c r="AH54" s="1">
        <v>0.01</v>
      </c>
      <c r="AI54" s="1">
        <v>1.99</v>
      </c>
    </row>
    <row r="55" spans="1:35">
      <c r="A55" t="s">
        <v>172</v>
      </c>
      <c r="B55" t="s">
        <v>173</v>
      </c>
      <c r="D55" t="s">
        <v>37</v>
      </c>
      <c r="F55">
        <v>1</v>
      </c>
      <c r="G55">
        <v>1</v>
      </c>
      <c r="H55" t="s">
        <v>38</v>
      </c>
      <c r="K55">
        <v>4</v>
      </c>
      <c r="L55" t="s">
        <v>53</v>
      </c>
      <c r="M55">
        <v>4</v>
      </c>
      <c r="N55" t="s">
        <v>174</v>
      </c>
      <c r="O55">
        <v>400</v>
      </c>
      <c r="P55" t="s">
        <v>41</v>
      </c>
      <c r="Q55" t="s">
        <v>42</v>
      </c>
      <c r="R55" t="s">
        <v>43</v>
      </c>
      <c r="S55" t="s">
        <v>44</v>
      </c>
      <c r="T55" t="s">
        <v>44</v>
      </c>
      <c r="U55" t="s">
        <v>44</v>
      </c>
      <c r="V55" t="s">
        <v>45</v>
      </c>
      <c r="W55" t="s">
        <v>162</v>
      </c>
      <c r="X55" t="s">
        <v>162</v>
      </c>
      <c r="Z55" s="2">
        <v>1500</v>
      </c>
      <c r="AA55" t="s">
        <v>44</v>
      </c>
      <c r="AB55">
        <v>64</v>
      </c>
      <c r="AD55">
        <v>2</v>
      </c>
      <c r="AE55">
        <v>31.2</v>
      </c>
      <c r="AF55">
        <v>24.1</v>
      </c>
      <c r="AG55">
        <v>13.9</v>
      </c>
      <c r="AH55">
        <v>0.01</v>
      </c>
      <c r="AI55">
        <v>6.23</v>
      </c>
    </row>
    <row r="56" spans="1:35">
      <c r="A56" t="s">
        <v>175</v>
      </c>
      <c r="B56" t="s">
        <v>176</v>
      </c>
      <c r="D56" t="s">
        <v>37</v>
      </c>
      <c r="F56">
        <v>1</v>
      </c>
      <c r="G56">
        <v>1</v>
      </c>
      <c r="H56" t="s">
        <v>38</v>
      </c>
      <c r="K56">
        <v>9</v>
      </c>
      <c r="L56" t="s">
        <v>53</v>
      </c>
      <c r="M56">
        <v>9</v>
      </c>
      <c r="N56" t="s">
        <v>177</v>
      </c>
      <c r="O56">
        <v>900</v>
      </c>
      <c r="P56" t="s">
        <v>41</v>
      </c>
      <c r="Q56" t="s">
        <v>42</v>
      </c>
      <c r="R56" t="s">
        <v>43</v>
      </c>
      <c r="S56" t="s">
        <v>44</v>
      </c>
      <c r="T56" t="s">
        <v>44</v>
      </c>
      <c r="U56" t="s">
        <v>44</v>
      </c>
      <c r="V56" t="s">
        <v>45</v>
      </c>
      <c r="W56" t="s">
        <v>46</v>
      </c>
      <c r="X56" t="s">
        <v>162</v>
      </c>
      <c r="Z56">
        <v>250</v>
      </c>
      <c r="AA56" t="s">
        <v>44</v>
      </c>
      <c r="AB56">
        <v>0</v>
      </c>
      <c r="AD56">
        <v>2</v>
      </c>
      <c r="AE56">
        <v>32.9</v>
      </c>
      <c r="AF56">
        <v>16.1</v>
      </c>
      <c r="AG56">
        <v>19.3</v>
      </c>
      <c r="AH56">
        <v>0.01</v>
      </c>
      <c r="AI56">
        <v>2.46</v>
      </c>
    </row>
    <row r="57" spans="1:35">
      <c r="A57" t="s">
        <v>178</v>
      </c>
      <c r="B57" t="s">
        <v>179</v>
      </c>
      <c r="D57" t="s">
        <v>37</v>
      </c>
      <c r="E57" t="s">
        <v>38</v>
      </c>
      <c r="F57">
        <v>9</v>
      </c>
      <c r="G57">
        <v>1</v>
      </c>
      <c r="H57" t="s">
        <v>38</v>
      </c>
      <c r="I57" t="str">
        <f>IF(ISNUMBER(SEARCH("Renceng",J57)),(K57/10)," ")</f>
        <v> </v>
      </c>
      <c r="J57" t="str">
        <f>IF(ISNUMBER(SEARCH("Rtg",B57)),"Renceng"," ")</f>
        <v> </v>
      </c>
      <c r="K57">
        <v>9</v>
      </c>
      <c r="L57" t="s">
        <v>53</v>
      </c>
      <c r="M57">
        <v>9</v>
      </c>
      <c r="N57" t="s">
        <v>177</v>
      </c>
      <c r="O57">
        <v>900</v>
      </c>
      <c r="P57" t="s">
        <v>41</v>
      </c>
      <c r="Q57" t="s">
        <v>42</v>
      </c>
      <c r="R57" t="s">
        <v>43</v>
      </c>
      <c r="S57" t="s">
        <v>44</v>
      </c>
      <c r="T57" t="s">
        <v>44</v>
      </c>
      <c r="U57" t="s">
        <v>44</v>
      </c>
      <c r="V57" t="s">
        <v>45</v>
      </c>
      <c r="W57" t="s">
        <v>46</v>
      </c>
      <c r="X57" t="s">
        <v>162</v>
      </c>
      <c r="Z57">
        <v>250</v>
      </c>
      <c r="AA57" t="s">
        <v>44</v>
      </c>
      <c r="AB57" s="2">
        <v>26977</v>
      </c>
      <c r="AD57">
        <v>2</v>
      </c>
      <c r="AE57">
        <v>32.9</v>
      </c>
      <c r="AF57">
        <v>16.1</v>
      </c>
      <c r="AG57">
        <v>19.3</v>
      </c>
      <c r="AH57">
        <v>0.01</v>
      </c>
      <c r="AI57">
        <v>2.46</v>
      </c>
    </row>
    <row r="58" spans="1:35">
      <c r="A58" t="s">
        <v>180</v>
      </c>
      <c r="B58" t="s">
        <v>181</v>
      </c>
      <c r="D58" t="s">
        <v>37</v>
      </c>
      <c r="F58">
        <v>1</v>
      </c>
      <c r="G58">
        <v>1</v>
      </c>
      <c r="H58" t="s">
        <v>38</v>
      </c>
      <c r="K58">
        <v>24</v>
      </c>
      <c r="L58" t="s">
        <v>39</v>
      </c>
      <c r="M58">
        <v>24</v>
      </c>
      <c r="N58" t="s">
        <v>40</v>
      </c>
      <c r="O58" s="2">
        <v>12000</v>
      </c>
      <c r="P58" t="s">
        <v>41</v>
      </c>
      <c r="Q58" t="s">
        <v>42</v>
      </c>
      <c r="R58" t="s">
        <v>43</v>
      </c>
      <c r="S58" t="s">
        <v>44</v>
      </c>
      <c r="T58" t="s">
        <v>44</v>
      </c>
      <c r="U58" t="s">
        <v>44</v>
      </c>
      <c r="V58" t="s">
        <v>45</v>
      </c>
      <c r="W58" t="s">
        <v>151</v>
      </c>
      <c r="X58" t="s">
        <v>152</v>
      </c>
      <c r="Z58">
        <v>125</v>
      </c>
      <c r="AA58" t="s">
        <v>44</v>
      </c>
      <c r="AB58">
        <v>0</v>
      </c>
      <c r="AD58">
        <v>2</v>
      </c>
      <c r="AE58">
        <v>36</v>
      </c>
      <c r="AF58">
        <v>21</v>
      </c>
      <c r="AG58">
        <v>27</v>
      </c>
      <c r="AH58">
        <v>0.02</v>
      </c>
      <c r="AI58">
        <v>4.06</v>
      </c>
    </row>
    <row r="59" spans="1:35">
      <c r="A59" s="1" t="s">
        <v>182</v>
      </c>
      <c r="B59" s="1" t="s">
        <v>183</v>
      </c>
      <c r="D59" s="1" t="s">
        <v>37</v>
      </c>
      <c r="F59" s="1">
        <v>1</v>
      </c>
      <c r="G59" s="1">
        <v>1</v>
      </c>
      <c r="H59" s="1" t="s">
        <v>38</v>
      </c>
      <c r="I59" s="1">
        <f>IF(J59="Renceng",(M59/10),(M59/15))</f>
        <v>25</v>
      </c>
      <c r="J59" s="1" t="str">
        <f>IF(ISNUMBER(SEARCH("Rtg",B59)),"Renceng"," ")</f>
        <v>Renceng</v>
      </c>
      <c r="K59" s="1">
        <f>M59/I59</f>
        <v>10</v>
      </c>
      <c r="L59" s="1" t="s">
        <v>120</v>
      </c>
      <c r="M59" s="1">
        <v>250</v>
      </c>
      <c r="N59" s="1" t="s">
        <v>150</v>
      </c>
      <c r="O59" s="3">
        <v>25000</v>
      </c>
      <c r="P59" s="1" t="s">
        <v>41</v>
      </c>
      <c r="Q59" s="1" t="s">
        <v>42</v>
      </c>
      <c r="R59" s="1" t="s">
        <v>43</v>
      </c>
      <c r="S59" s="1" t="s">
        <v>44</v>
      </c>
      <c r="T59" s="1" t="s">
        <v>44</v>
      </c>
      <c r="U59" s="1" t="s">
        <v>44</v>
      </c>
      <c r="V59" s="1" t="s">
        <v>161</v>
      </c>
      <c r="W59" s="1" t="s">
        <v>162</v>
      </c>
      <c r="X59" s="1" t="s">
        <v>163</v>
      </c>
      <c r="Z59" s="1">
        <v>20</v>
      </c>
      <c r="AA59" s="1" t="s">
        <v>44</v>
      </c>
      <c r="AB59" s="1">
        <v>0</v>
      </c>
      <c r="AD59" s="1">
        <v>2</v>
      </c>
      <c r="AE59" s="1">
        <v>43</v>
      </c>
      <c r="AF59" s="1">
        <v>29</v>
      </c>
      <c r="AG59" s="1">
        <v>18</v>
      </c>
      <c r="AH59" s="1">
        <v>0.02</v>
      </c>
      <c r="AI59" s="1">
        <v>3.04</v>
      </c>
    </row>
    <row r="60" spans="1:35">
      <c r="A60" t="s">
        <v>184</v>
      </c>
      <c r="B60" t="s">
        <v>185</v>
      </c>
      <c r="D60" t="s">
        <v>37</v>
      </c>
      <c r="F60">
        <v>1</v>
      </c>
      <c r="G60">
        <v>1</v>
      </c>
      <c r="H60" t="s">
        <v>38</v>
      </c>
      <c r="K60">
        <v>36</v>
      </c>
      <c r="L60" t="s">
        <v>39</v>
      </c>
      <c r="M60">
        <v>36</v>
      </c>
      <c r="N60" t="s">
        <v>186</v>
      </c>
      <c r="O60" s="2">
        <v>18000</v>
      </c>
      <c r="P60" t="s">
        <v>41</v>
      </c>
      <c r="Q60" t="s">
        <v>42</v>
      </c>
      <c r="R60" t="s">
        <v>43</v>
      </c>
      <c r="S60" t="s">
        <v>44</v>
      </c>
      <c r="T60" t="s">
        <v>44</v>
      </c>
      <c r="U60" t="s">
        <v>44</v>
      </c>
      <c r="V60" t="s">
        <v>45</v>
      </c>
      <c r="W60" t="s">
        <v>151</v>
      </c>
      <c r="X60" t="s">
        <v>152</v>
      </c>
      <c r="Z60">
        <v>100</v>
      </c>
      <c r="AA60" t="s">
        <v>44</v>
      </c>
      <c r="AB60">
        <v>0</v>
      </c>
      <c r="AD60">
        <v>2</v>
      </c>
      <c r="AE60">
        <v>28.5</v>
      </c>
      <c r="AF60">
        <v>29</v>
      </c>
      <c r="AG60">
        <v>19</v>
      </c>
      <c r="AH60">
        <v>0.02</v>
      </c>
      <c r="AI60">
        <v>4.6</v>
      </c>
    </row>
    <row r="61" hidden="1" spans="1:35">
      <c r="A61" s="1" t="s">
        <v>187</v>
      </c>
      <c r="B61" s="1" t="s">
        <v>188</v>
      </c>
      <c r="D61" s="1" t="s">
        <v>37</v>
      </c>
      <c r="E61" s="1"/>
      <c r="F61" s="1">
        <v>1</v>
      </c>
      <c r="G61" s="1">
        <v>1</v>
      </c>
      <c r="H61" s="1"/>
      <c r="I61" s="1"/>
      <c r="J61" s="1"/>
      <c r="K61" s="1">
        <v>1</v>
      </c>
      <c r="L61" s="1" t="s">
        <v>120</v>
      </c>
      <c r="M61" s="1">
        <v>250</v>
      </c>
      <c r="N61" s="1" t="s">
        <v>150</v>
      </c>
      <c r="O61" s="1">
        <v>1</v>
      </c>
      <c r="P61" s="1" t="s">
        <v>41</v>
      </c>
      <c r="Q61" s="1" t="s">
        <v>42</v>
      </c>
      <c r="R61" s="1" t="s">
        <v>43</v>
      </c>
      <c r="S61" s="1" t="s">
        <v>44</v>
      </c>
      <c r="T61" s="1" t="s">
        <v>44</v>
      </c>
      <c r="U61" s="1" t="s">
        <v>44</v>
      </c>
      <c r="V61" s="1" t="s">
        <v>161</v>
      </c>
      <c r="W61" s="1" t="s">
        <v>162</v>
      </c>
      <c r="X61" s="1" t="s">
        <v>163</v>
      </c>
      <c r="Z61" s="1">
        <v>20</v>
      </c>
      <c r="AA61" s="1" t="s">
        <v>44</v>
      </c>
      <c r="AB61" s="1">
        <v>0</v>
      </c>
      <c r="AD61" s="1">
        <v>2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</row>
    <row r="62" spans="1:35">
      <c r="A62" t="s">
        <v>189</v>
      </c>
      <c r="B62" t="s">
        <v>190</v>
      </c>
      <c r="D62" t="s">
        <v>37</v>
      </c>
      <c r="F62">
        <v>1</v>
      </c>
      <c r="G62">
        <v>1</v>
      </c>
      <c r="H62" t="s">
        <v>38</v>
      </c>
      <c r="K62">
        <v>36</v>
      </c>
      <c r="L62" t="s">
        <v>39</v>
      </c>
      <c r="M62">
        <v>36</v>
      </c>
      <c r="N62" t="s">
        <v>186</v>
      </c>
      <c r="O62" s="2">
        <v>18000</v>
      </c>
      <c r="P62" t="s">
        <v>41</v>
      </c>
      <c r="Q62" t="s">
        <v>42</v>
      </c>
      <c r="R62" t="s">
        <v>43</v>
      </c>
      <c r="S62" t="s">
        <v>44</v>
      </c>
      <c r="T62" t="s">
        <v>44</v>
      </c>
      <c r="U62" t="s">
        <v>44</v>
      </c>
      <c r="V62" t="s">
        <v>45</v>
      </c>
      <c r="W62" t="s">
        <v>151</v>
      </c>
      <c r="X62" t="s">
        <v>152</v>
      </c>
      <c r="Z62">
        <v>100</v>
      </c>
      <c r="AA62" t="s">
        <v>44</v>
      </c>
      <c r="AB62">
        <v>0</v>
      </c>
      <c r="AD62">
        <v>2</v>
      </c>
      <c r="AE62">
        <v>28.5</v>
      </c>
      <c r="AF62">
        <v>29</v>
      </c>
      <c r="AG62">
        <v>19</v>
      </c>
      <c r="AH62">
        <v>0.02</v>
      </c>
      <c r="AI62">
        <v>4.6</v>
      </c>
    </row>
    <row r="63" spans="1:35">
      <c r="A63" s="1" t="s">
        <v>191</v>
      </c>
      <c r="B63" s="1" t="s">
        <v>192</v>
      </c>
      <c r="D63" s="1" t="s">
        <v>37</v>
      </c>
      <c r="F63" s="1">
        <v>1</v>
      </c>
      <c r="G63" s="1">
        <v>1</v>
      </c>
      <c r="H63" s="1" t="s">
        <v>38</v>
      </c>
      <c r="I63" s="1">
        <f>IF(J63="Renceng",(M63/10),(M63/15))</f>
        <v>12</v>
      </c>
      <c r="J63" s="1" t="s">
        <v>149</v>
      </c>
      <c r="K63" s="1">
        <f>M63/I63</f>
        <v>10</v>
      </c>
      <c r="L63" s="1" t="s">
        <v>120</v>
      </c>
      <c r="M63" s="1">
        <v>120</v>
      </c>
      <c r="N63" s="1" t="s">
        <v>193</v>
      </c>
      <c r="O63" s="3">
        <v>12000</v>
      </c>
      <c r="P63" s="1" t="s">
        <v>41</v>
      </c>
      <c r="Q63" s="1" t="s">
        <v>42</v>
      </c>
      <c r="R63" s="1" t="s">
        <v>43</v>
      </c>
      <c r="S63" s="1" t="s">
        <v>44</v>
      </c>
      <c r="T63" s="1" t="s">
        <v>44</v>
      </c>
      <c r="U63" s="1" t="s">
        <v>44</v>
      </c>
      <c r="V63" s="1" t="s">
        <v>45</v>
      </c>
      <c r="W63" s="1" t="s">
        <v>151</v>
      </c>
      <c r="X63" s="1" t="s">
        <v>194</v>
      </c>
      <c r="Z63" s="1">
        <v>20</v>
      </c>
      <c r="AA63" s="1" t="s">
        <v>44</v>
      </c>
      <c r="AB63" s="1">
        <v>0</v>
      </c>
      <c r="AD63" s="1">
        <v>2</v>
      </c>
      <c r="AE63" s="1">
        <v>34.5</v>
      </c>
      <c r="AF63" s="1">
        <v>27</v>
      </c>
      <c r="AG63" s="1">
        <v>12.3</v>
      </c>
      <c r="AH63" s="1">
        <v>0.01</v>
      </c>
      <c r="AI63" s="1">
        <v>3.39</v>
      </c>
    </row>
    <row r="64" spans="1:35">
      <c r="A64" t="s">
        <v>195</v>
      </c>
      <c r="B64" t="s">
        <v>196</v>
      </c>
      <c r="D64" t="s">
        <v>37</v>
      </c>
      <c r="F64">
        <v>1</v>
      </c>
      <c r="G64">
        <v>1</v>
      </c>
      <c r="H64" t="s">
        <v>38</v>
      </c>
      <c r="K64">
        <v>36</v>
      </c>
      <c r="L64" t="s">
        <v>39</v>
      </c>
      <c r="M64">
        <v>36</v>
      </c>
      <c r="N64" t="s">
        <v>186</v>
      </c>
      <c r="O64" s="2">
        <v>18000</v>
      </c>
      <c r="P64" t="s">
        <v>41</v>
      </c>
      <c r="Q64" t="s">
        <v>42</v>
      </c>
      <c r="R64" t="s">
        <v>43</v>
      </c>
      <c r="S64" t="s">
        <v>44</v>
      </c>
      <c r="T64" t="s">
        <v>44</v>
      </c>
      <c r="U64" t="s">
        <v>44</v>
      </c>
      <c r="V64" t="s">
        <v>45</v>
      </c>
      <c r="W64" t="s">
        <v>151</v>
      </c>
      <c r="X64" t="s">
        <v>152</v>
      </c>
      <c r="Z64">
        <v>100</v>
      </c>
      <c r="AA64" t="s">
        <v>44</v>
      </c>
      <c r="AB64">
        <v>0</v>
      </c>
      <c r="AD64">
        <v>2</v>
      </c>
      <c r="AE64">
        <v>28.5</v>
      </c>
      <c r="AF64">
        <v>29</v>
      </c>
      <c r="AG64">
        <v>19</v>
      </c>
      <c r="AH64">
        <v>0.02</v>
      </c>
      <c r="AI64">
        <v>4.6</v>
      </c>
    </row>
    <row r="65" spans="1:35">
      <c r="A65" s="1" t="s">
        <v>197</v>
      </c>
      <c r="B65" s="1" t="s">
        <v>198</v>
      </c>
      <c r="D65" s="1" t="s">
        <v>37</v>
      </c>
      <c r="F65" s="1">
        <v>1</v>
      </c>
      <c r="G65" s="1">
        <v>1</v>
      </c>
      <c r="H65" s="1" t="s">
        <v>38</v>
      </c>
      <c r="I65" s="1">
        <f>IF(J65="Renceng",(M65/10),(M65/15))</f>
        <v>20</v>
      </c>
      <c r="J65" s="1" t="s">
        <v>149</v>
      </c>
      <c r="K65" s="1">
        <f>M65/I65</f>
        <v>10</v>
      </c>
      <c r="L65" s="1" t="s">
        <v>120</v>
      </c>
      <c r="M65" s="1">
        <v>200</v>
      </c>
      <c r="N65" s="1" t="s">
        <v>199</v>
      </c>
      <c r="O65" s="3">
        <v>20000</v>
      </c>
      <c r="P65" s="1" t="s">
        <v>41</v>
      </c>
      <c r="Q65" s="1" t="s">
        <v>42</v>
      </c>
      <c r="R65" s="1" t="s">
        <v>43</v>
      </c>
      <c r="S65" s="1" t="s">
        <v>44</v>
      </c>
      <c r="T65" s="1" t="s">
        <v>44</v>
      </c>
      <c r="U65" s="1" t="s">
        <v>44</v>
      </c>
      <c r="V65" s="1" t="s">
        <v>45</v>
      </c>
      <c r="W65" s="1" t="s">
        <v>46</v>
      </c>
      <c r="X65" s="1" t="s">
        <v>194</v>
      </c>
      <c r="Z65" s="1">
        <v>8</v>
      </c>
      <c r="AA65" s="1" t="s">
        <v>44</v>
      </c>
      <c r="AB65" s="1">
        <v>0</v>
      </c>
      <c r="AD65" s="1">
        <v>2</v>
      </c>
      <c r="AE65" s="1">
        <v>32.9</v>
      </c>
      <c r="AF65" s="1">
        <v>25</v>
      </c>
      <c r="AG65" s="1">
        <v>22.2</v>
      </c>
      <c r="AH65" s="1">
        <v>0.02</v>
      </c>
      <c r="AI65" s="1">
        <v>4.01</v>
      </c>
    </row>
    <row r="66" spans="1:35">
      <c r="A66" s="1" t="s">
        <v>200</v>
      </c>
      <c r="B66" s="1" t="s">
        <v>201</v>
      </c>
      <c r="D66" s="1" t="s">
        <v>37</v>
      </c>
      <c r="F66" s="1">
        <v>1</v>
      </c>
      <c r="G66" s="1">
        <v>1</v>
      </c>
      <c r="H66" s="1" t="s">
        <v>38</v>
      </c>
      <c r="I66" s="1">
        <f>IF(J66="Renceng",(M66/10),(M66/15))</f>
        <v>10</v>
      </c>
      <c r="J66" s="1" t="s">
        <v>149</v>
      </c>
      <c r="K66" s="1">
        <f>M66/I66</f>
        <v>10</v>
      </c>
      <c r="L66" s="1" t="s">
        <v>120</v>
      </c>
      <c r="M66" s="1">
        <v>100</v>
      </c>
      <c r="N66" s="1" t="s">
        <v>202</v>
      </c>
      <c r="O66" s="3">
        <v>10000</v>
      </c>
      <c r="P66" s="1" t="s">
        <v>41</v>
      </c>
      <c r="Q66" s="1" t="s">
        <v>42</v>
      </c>
      <c r="R66" s="1" t="s">
        <v>43</v>
      </c>
      <c r="S66" s="1" t="s">
        <v>44</v>
      </c>
      <c r="T66" s="1" t="s">
        <v>44</v>
      </c>
      <c r="U66" s="1" t="s">
        <v>44</v>
      </c>
      <c r="V66" s="1" t="s">
        <v>45</v>
      </c>
      <c r="W66" s="1" t="s">
        <v>46</v>
      </c>
      <c r="X66" s="1" t="s">
        <v>194</v>
      </c>
      <c r="Z66" s="1">
        <v>30</v>
      </c>
      <c r="AA66" s="1" t="s">
        <v>44</v>
      </c>
      <c r="AB66" s="1">
        <v>0</v>
      </c>
      <c r="AD66" s="1">
        <v>2</v>
      </c>
      <c r="AE66" s="1">
        <v>39.4</v>
      </c>
      <c r="AF66" s="1">
        <v>28</v>
      </c>
      <c r="AG66" s="1">
        <v>21.9</v>
      </c>
      <c r="AH66" s="1">
        <v>0.02</v>
      </c>
      <c r="AI66" s="1">
        <v>3.54</v>
      </c>
    </row>
    <row r="67" spans="1:35">
      <c r="A67" s="1" t="s">
        <v>203</v>
      </c>
      <c r="B67" s="1" t="s">
        <v>204</v>
      </c>
      <c r="D67" s="1" t="s">
        <v>37</v>
      </c>
      <c r="F67" s="1">
        <v>1</v>
      </c>
      <c r="G67" s="1">
        <v>1</v>
      </c>
      <c r="H67" s="1" t="s">
        <v>38</v>
      </c>
      <c r="I67" s="1">
        <f>IF(J67="Renceng",(M67/10),(M67/15))</f>
        <v>5</v>
      </c>
      <c r="J67" s="1" t="s">
        <v>149</v>
      </c>
      <c r="K67" s="1">
        <v>50</v>
      </c>
      <c r="L67" s="1" t="s">
        <v>120</v>
      </c>
      <c r="M67" s="1">
        <v>50</v>
      </c>
      <c r="N67" s="1" t="s">
        <v>205</v>
      </c>
      <c r="O67" s="3">
        <v>5000</v>
      </c>
      <c r="P67" s="1" t="s">
        <v>41</v>
      </c>
      <c r="Q67" s="1" t="s">
        <v>42</v>
      </c>
      <c r="R67" s="1" t="s">
        <v>43</v>
      </c>
      <c r="S67" s="1" t="s">
        <v>44</v>
      </c>
      <c r="T67" s="1" t="s">
        <v>44</v>
      </c>
      <c r="U67" s="1" t="s">
        <v>44</v>
      </c>
      <c r="V67" s="1" t="s">
        <v>45</v>
      </c>
      <c r="W67" s="1" t="s">
        <v>46</v>
      </c>
      <c r="X67" s="1" t="s">
        <v>194</v>
      </c>
      <c r="Z67" s="1">
        <v>65</v>
      </c>
      <c r="AA67" s="1" t="s">
        <v>44</v>
      </c>
      <c r="AB67" s="1">
        <v>430</v>
      </c>
      <c r="AD67" s="1">
        <v>2</v>
      </c>
      <c r="AE67" s="1">
        <v>33</v>
      </c>
      <c r="AF67" s="1">
        <v>20.5</v>
      </c>
      <c r="AG67" s="1">
        <v>21.1</v>
      </c>
      <c r="AH67" s="1">
        <v>0.01</v>
      </c>
      <c r="AI67" s="1">
        <v>3.77</v>
      </c>
    </row>
    <row r="68" hidden="1" spans="1:35">
      <c r="A68" s="1" t="s">
        <v>206</v>
      </c>
      <c r="B68" s="1" t="s">
        <v>207</v>
      </c>
      <c r="D68" s="1" t="s">
        <v>37</v>
      </c>
      <c r="E68" s="1"/>
      <c r="F68" s="1">
        <v>1</v>
      </c>
      <c r="G68" s="1">
        <v>1</v>
      </c>
      <c r="H68" s="1" t="s">
        <v>208</v>
      </c>
      <c r="I68" s="1"/>
      <c r="J68" s="1"/>
      <c r="K68" s="1">
        <v>1</v>
      </c>
      <c r="L68" s="1" t="s">
        <v>208</v>
      </c>
      <c r="M68" s="1" t="s">
        <v>136</v>
      </c>
      <c r="N68" s="1" t="s">
        <v>136</v>
      </c>
      <c r="O68" s="3">
        <v>1333</v>
      </c>
      <c r="P68" s="1" t="s">
        <v>41</v>
      </c>
      <c r="Q68" s="1" t="s">
        <v>42</v>
      </c>
      <c r="R68" s="1" t="s">
        <v>43</v>
      </c>
      <c r="S68" s="1" t="s">
        <v>44</v>
      </c>
      <c r="T68" s="1" t="s">
        <v>44</v>
      </c>
      <c r="U68" s="1" t="s">
        <v>44</v>
      </c>
      <c r="V68" s="1" t="s">
        <v>45</v>
      </c>
      <c r="W68" s="1" t="s">
        <v>46</v>
      </c>
      <c r="X68" s="1" t="s">
        <v>194</v>
      </c>
      <c r="Z68" s="1">
        <v>150</v>
      </c>
      <c r="AA68" s="1" t="s">
        <v>44</v>
      </c>
      <c r="AB68" s="1">
        <v>0</v>
      </c>
      <c r="AD68" s="1">
        <v>2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</row>
    <row r="69" spans="1:35">
      <c r="A69" t="s">
        <v>209</v>
      </c>
      <c r="B69" t="s">
        <v>210</v>
      </c>
      <c r="D69" t="s">
        <v>37</v>
      </c>
      <c r="F69">
        <v>1</v>
      </c>
      <c r="G69">
        <v>1</v>
      </c>
      <c r="H69" t="s">
        <v>38</v>
      </c>
      <c r="K69">
        <v>25</v>
      </c>
      <c r="L69" t="s">
        <v>53</v>
      </c>
      <c r="M69">
        <v>25</v>
      </c>
      <c r="N69" t="s">
        <v>211</v>
      </c>
      <c r="O69" s="2">
        <v>2500</v>
      </c>
      <c r="P69" t="s">
        <v>41</v>
      </c>
      <c r="Q69" t="s">
        <v>42</v>
      </c>
      <c r="R69" t="s">
        <v>43</v>
      </c>
      <c r="S69" t="s">
        <v>44</v>
      </c>
      <c r="T69" t="s">
        <v>44</v>
      </c>
      <c r="U69" t="s">
        <v>44</v>
      </c>
      <c r="V69" t="s">
        <v>161</v>
      </c>
      <c r="W69" t="s">
        <v>162</v>
      </c>
      <c r="X69" t="s">
        <v>163</v>
      </c>
      <c r="Z69">
        <v>200</v>
      </c>
      <c r="AA69" t="s">
        <v>44</v>
      </c>
      <c r="AB69">
        <v>635</v>
      </c>
      <c r="AD69">
        <v>2</v>
      </c>
      <c r="AE69">
        <v>42.5</v>
      </c>
      <c r="AF69">
        <v>23</v>
      </c>
      <c r="AG69">
        <v>21.6</v>
      </c>
      <c r="AH69">
        <v>0.02</v>
      </c>
      <c r="AI69">
        <v>5.66</v>
      </c>
    </row>
    <row r="70" spans="1:35">
      <c r="A70" t="s">
        <v>212</v>
      </c>
      <c r="B70" t="s">
        <v>213</v>
      </c>
      <c r="D70" t="s">
        <v>37</v>
      </c>
      <c r="F70">
        <v>1</v>
      </c>
      <c r="G70">
        <v>1</v>
      </c>
      <c r="H70" t="s">
        <v>38</v>
      </c>
      <c r="K70">
        <v>25</v>
      </c>
      <c r="L70" t="s">
        <v>53</v>
      </c>
      <c r="M70">
        <v>25</v>
      </c>
      <c r="N70" t="s">
        <v>211</v>
      </c>
      <c r="O70" s="2">
        <v>2500</v>
      </c>
      <c r="P70" t="s">
        <v>41</v>
      </c>
      <c r="Q70" t="s">
        <v>42</v>
      </c>
      <c r="R70" t="s">
        <v>43</v>
      </c>
      <c r="S70" t="s">
        <v>44</v>
      </c>
      <c r="T70" t="s">
        <v>44</v>
      </c>
      <c r="U70" t="s">
        <v>44</v>
      </c>
      <c r="V70" t="s">
        <v>161</v>
      </c>
      <c r="W70" t="s">
        <v>162</v>
      </c>
      <c r="X70" t="s">
        <v>163</v>
      </c>
      <c r="Z70">
        <v>200</v>
      </c>
      <c r="AA70" t="s">
        <v>44</v>
      </c>
      <c r="AB70">
        <v>0</v>
      </c>
      <c r="AD70">
        <v>2</v>
      </c>
      <c r="AE70">
        <v>42.5</v>
      </c>
      <c r="AF70">
        <v>23</v>
      </c>
      <c r="AG70">
        <v>21.6</v>
      </c>
      <c r="AH70">
        <v>0.02</v>
      </c>
      <c r="AI70">
        <v>5.66</v>
      </c>
    </row>
    <row r="71" spans="1:35">
      <c r="A71" t="s">
        <v>214</v>
      </c>
      <c r="B71" t="s">
        <v>215</v>
      </c>
      <c r="D71" t="s">
        <v>37</v>
      </c>
      <c r="F71">
        <v>1</v>
      </c>
      <c r="G71">
        <v>1</v>
      </c>
      <c r="H71" t="s">
        <v>38</v>
      </c>
      <c r="K71">
        <v>12</v>
      </c>
      <c r="L71" t="s">
        <v>53</v>
      </c>
      <c r="M71">
        <v>12</v>
      </c>
      <c r="N71" t="s">
        <v>216</v>
      </c>
      <c r="O71" s="2">
        <v>1200</v>
      </c>
      <c r="P71" t="s">
        <v>41</v>
      </c>
      <c r="Q71" t="s">
        <v>42</v>
      </c>
      <c r="R71" t="s">
        <v>43</v>
      </c>
      <c r="S71" t="s">
        <v>44</v>
      </c>
      <c r="T71" t="s">
        <v>44</v>
      </c>
      <c r="U71" t="s">
        <v>44</v>
      </c>
      <c r="V71" t="s">
        <v>161</v>
      </c>
      <c r="W71" t="s">
        <v>162</v>
      </c>
      <c r="X71" t="s">
        <v>163</v>
      </c>
      <c r="Z71">
        <v>400</v>
      </c>
      <c r="AA71" t="s">
        <v>44</v>
      </c>
      <c r="AB71">
        <v>239</v>
      </c>
      <c r="AD71">
        <v>2</v>
      </c>
      <c r="AE71">
        <v>42.5</v>
      </c>
      <c r="AF71">
        <v>23</v>
      </c>
      <c r="AG71">
        <v>21.6</v>
      </c>
      <c r="AH71">
        <v>0.02</v>
      </c>
      <c r="AI71">
        <v>5.46</v>
      </c>
    </row>
    <row r="72" spans="1:35">
      <c r="A72" t="s">
        <v>217</v>
      </c>
      <c r="B72" t="s">
        <v>218</v>
      </c>
      <c r="D72" t="s">
        <v>37</v>
      </c>
      <c r="F72">
        <v>1</v>
      </c>
      <c r="G72">
        <v>1</v>
      </c>
      <c r="H72" t="s">
        <v>38</v>
      </c>
      <c r="K72">
        <v>12</v>
      </c>
      <c r="L72" t="s">
        <v>53</v>
      </c>
      <c r="M72">
        <v>12</v>
      </c>
      <c r="N72" t="s">
        <v>216</v>
      </c>
      <c r="O72" s="2">
        <v>1200</v>
      </c>
      <c r="P72" t="s">
        <v>41</v>
      </c>
      <c r="Q72" t="s">
        <v>42</v>
      </c>
      <c r="R72" t="s">
        <v>43</v>
      </c>
      <c r="S72" t="s">
        <v>44</v>
      </c>
      <c r="T72" t="s">
        <v>44</v>
      </c>
      <c r="U72" t="s">
        <v>44</v>
      </c>
      <c r="V72" t="s">
        <v>161</v>
      </c>
      <c r="W72" t="s">
        <v>162</v>
      </c>
      <c r="X72" t="s">
        <v>163</v>
      </c>
      <c r="Z72">
        <v>400</v>
      </c>
      <c r="AA72" t="s">
        <v>44</v>
      </c>
      <c r="AB72">
        <v>0</v>
      </c>
      <c r="AD72">
        <v>2</v>
      </c>
      <c r="AE72">
        <v>42.5</v>
      </c>
      <c r="AF72">
        <v>23</v>
      </c>
      <c r="AG72">
        <v>21.6</v>
      </c>
      <c r="AH72">
        <v>0.02</v>
      </c>
      <c r="AI72">
        <v>5.46</v>
      </c>
    </row>
    <row r="73" spans="1:35">
      <c r="A73" t="s">
        <v>219</v>
      </c>
      <c r="B73" t="s">
        <v>220</v>
      </c>
      <c r="D73" t="s">
        <v>37</v>
      </c>
      <c r="F73">
        <v>1</v>
      </c>
      <c r="G73">
        <v>1</v>
      </c>
      <c r="H73" t="s">
        <v>38</v>
      </c>
      <c r="I73" t="str">
        <f>IF(ISNUMBER(SEARCH("Renceng",J73)),(K73/10)," ")</f>
        <v> </v>
      </c>
      <c r="J73" t="str">
        <f>IF(ISNUMBER(SEARCH("Rtg",B73)),"Renceng"," ")</f>
        <v> </v>
      </c>
      <c r="K73">
        <v>12</v>
      </c>
      <c r="L73" t="s">
        <v>53</v>
      </c>
      <c r="M73">
        <v>12</v>
      </c>
      <c r="N73" t="s">
        <v>216</v>
      </c>
      <c r="O73" s="2">
        <v>1200</v>
      </c>
      <c r="P73" t="s">
        <v>41</v>
      </c>
      <c r="Q73" t="s">
        <v>42</v>
      </c>
      <c r="R73" t="s">
        <v>43</v>
      </c>
      <c r="S73" t="s">
        <v>44</v>
      </c>
      <c r="T73" t="s">
        <v>44</v>
      </c>
      <c r="U73" t="s">
        <v>44</v>
      </c>
      <c r="V73" t="s">
        <v>161</v>
      </c>
      <c r="W73" t="s">
        <v>162</v>
      </c>
      <c r="X73" t="s">
        <v>163</v>
      </c>
      <c r="Z73">
        <v>400</v>
      </c>
      <c r="AA73" t="s">
        <v>44</v>
      </c>
      <c r="AB73">
        <v>0</v>
      </c>
      <c r="AD73">
        <v>2</v>
      </c>
      <c r="AE73">
        <v>42.5</v>
      </c>
      <c r="AF73">
        <v>23</v>
      </c>
      <c r="AG73">
        <v>21.6</v>
      </c>
      <c r="AH73">
        <v>0.02</v>
      </c>
      <c r="AI73">
        <v>5.58</v>
      </c>
    </row>
    <row r="74" spans="1:35">
      <c r="A74" s="1" t="s">
        <v>221</v>
      </c>
      <c r="B74" s="1" t="s">
        <v>222</v>
      </c>
      <c r="D74" s="1" t="s">
        <v>37</v>
      </c>
      <c r="F74" s="1">
        <v>1</v>
      </c>
      <c r="G74" s="1">
        <v>1</v>
      </c>
      <c r="H74" s="1" t="s">
        <v>38</v>
      </c>
      <c r="I74" s="1"/>
      <c r="J74" s="1"/>
      <c r="K74" s="1">
        <v>20</v>
      </c>
      <c r="L74" s="1" t="s">
        <v>120</v>
      </c>
      <c r="M74" s="1">
        <v>20</v>
      </c>
      <c r="N74" s="1" t="s">
        <v>223</v>
      </c>
      <c r="O74" s="3">
        <v>2000</v>
      </c>
      <c r="P74" s="1" t="s">
        <v>41</v>
      </c>
      <c r="Q74" s="1" t="s">
        <v>42</v>
      </c>
      <c r="R74" s="1" t="s">
        <v>43</v>
      </c>
      <c r="S74" s="1" t="s">
        <v>44</v>
      </c>
      <c r="T74" s="1" t="s">
        <v>44</v>
      </c>
      <c r="U74" s="1" t="s">
        <v>44</v>
      </c>
      <c r="V74" s="1" t="s">
        <v>45</v>
      </c>
      <c r="W74" s="1" t="s">
        <v>46</v>
      </c>
      <c r="X74" s="1" t="s">
        <v>194</v>
      </c>
      <c r="Z74" s="1">
        <v>165</v>
      </c>
      <c r="AA74" s="1" t="s">
        <v>44</v>
      </c>
      <c r="AB74" s="1">
        <v>0</v>
      </c>
      <c r="AD74" s="1">
        <v>2</v>
      </c>
      <c r="AE74" s="1">
        <v>46.1</v>
      </c>
      <c r="AF74" s="1">
        <v>21.5</v>
      </c>
      <c r="AG74" s="1">
        <v>19.5</v>
      </c>
      <c r="AH74" s="1">
        <v>0.02</v>
      </c>
      <c r="AI74" s="1">
        <v>3.64</v>
      </c>
    </row>
    <row r="75" hidden="1" spans="1:35">
      <c r="A75" s="1" t="s">
        <v>224</v>
      </c>
      <c r="B75" s="1" t="s">
        <v>225</v>
      </c>
      <c r="D75" s="1" t="s">
        <v>37</v>
      </c>
      <c r="F75" s="1">
        <v>1</v>
      </c>
      <c r="G75" s="1">
        <v>1</v>
      </c>
      <c r="H75" s="1"/>
      <c r="I75" s="1"/>
      <c r="J75" s="1"/>
      <c r="K75" s="1">
        <v>1</v>
      </c>
      <c r="L75" s="1" t="s">
        <v>120</v>
      </c>
      <c r="M75" s="1">
        <v>9</v>
      </c>
      <c r="N75" s="1" t="s">
        <v>226</v>
      </c>
      <c r="O75" s="1">
        <v>900</v>
      </c>
      <c r="P75" s="1" t="s">
        <v>41</v>
      </c>
      <c r="Q75" s="1" t="s">
        <v>42</v>
      </c>
      <c r="R75" s="1" t="s">
        <v>43</v>
      </c>
      <c r="S75" s="1" t="s">
        <v>44</v>
      </c>
      <c r="T75" s="1" t="s">
        <v>44</v>
      </c>
      <c r="U75" s="1" t="s">
        <v>44</v>
      </c>
      <c r="V75" s="1" t="s">
        <v>45</v>
      </c>
      <c r="W75" s="1" t="s">
        <v>46</v>
      </c>
      <c r="X75" s="1" t="s">
        <v>194</v>
      </c>
      <c r="Z75" s="1">
        <v>380</v>
      </c>
      <c r="AA75" s="1" t="s">
        <v>43</v>
      </c>
      <c r="AB75" s="1">
        <v>0</v>
      </c>
      <c r="AD75" s="1">
        <v>2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</row>
    <row r="76" spans="1:35">
      <c r="A76" s="1" t="s">
        <v>227</v>
      </c>
      <c r="B76" s="1" t="s">
        <v>228</v>
      </c>
      <c r="D76" s="1" t="s">
        <v>37</v>
      </c>
      <c r="F76" s="1">
        <v>1</v>
      </c>
      <c r="G76" s="1">
        <v>1</v>
      </c>
      <c r="H76" s="1" t="s">
        <v>38</v>
      </c>
      <c r="I76" s="1">
        <f>IF(J76="Renceng",(M76/10),(M76/15))</f>
        <v>12</v>
      </c>
      <c r="J76" s="1" t="s">
        <v>149</v>
      </c>
      <c r="K76" s="1">
        <f>M76/I76</f>
        <v>10</v>
      </c>
      <c r="L76" s="1" t="s">
        <v>120</v>
      </c>
      <c r="M76" s="1">
        <v>120</v>
      </c>
      <c r="N76" s="1" t="s">
        <v>229</v>
      </c>
      <c r="O76" s="3">
        <v>12000</v>
      </c>
      <c r="P76" s="1" t="s">
        <v>41</v>
      </c>
      <c r="Q76" s="1" t="s">
        <v>42</v>
      </c>
      <c r="R76" s="1" t="s">
        <v>43</v>
      </c>
      <c r="S76" s="1" t="s">
        <v>44</v>
      </c>
      <c r="T76" s="1" t="s">
        <v>44</v>
      </c>
      <c r="U76" s="1" t="s">
        <v>44</v>
      </c>
      <c r="V76" s="1" t="s">
        <v>45</v>
      </c>
      <c r="W76" s="1" t="s">
        <v>230</v>
      </c>
      <c r="X76" s="1" t="s">
        <v>194</v>
      </c>
      <c r="Z76" s="1">
        <v>17</v>
      </c>
      <c r="AA76" s="1" t="s">
        <v>44</v>
      </c>
      <c r="AB76" s="1">
        <v>0</v>
      </c>
      <c r="AD76" s="1">
        <v>2</v>
      </c>
      <c r="AE76" s="1">
        <v>38.6</v>
      </c>
      <c r="AF76" s="1">
        <v>25.6</v>
      </c>
      <c r="AG76" s="1">
        <v>17.8</v>
      </c>
      <c r="AH76" s="1">
        <v>0.02</v>
      </c>
      <c r="AI76" s="1">
        <v>2.36</v>
      </c>
    </row>
    <row r="77" spans="1:35">
      <c r="A77" s="1" t="s">
        <v>231</v>
      </c>
      <c r="B77" s="1" t="s">
        <v>232</v>
      </c>
      <c r="D77" s="1" t="s">
        <v>37</v>
      </c>
      <c r="F77" s="1">
        <v>1</v>
      </c>
      <c r="G77" s="1">
        <v>1</v>
      </c>
      <c r="H77" s="1" t="s">
        <v>38</v>
      </c>
      <c r="I77" s="1">
        <f>IF(J77="Renceng",(M77/10),(M77/15))</f>
        <v>12</v>
      </c>
      <c r="J77" s="1" t="s">
        <v>149</v>
      </c>
      <c r="K77" s="1">
        <f>M77/I77</f>
        <v>10</v>
      </c>
      <c r="L77" s="1" t="s">
        <v>120</v>
      </c>
      <c r="M77" s="1">
        <v>120</v>
      </c>
      <c r="N77" s="1" t="s">
        <v>229</v>
      </c>
      <c r="O77" s="3">
        <v>12000</v>
      </c>
      <c r="P77" s="1" t="s">
        <v>41</v>
      </c>
      <c r="Q77" s="1" t="s">
        <v>42</v>
      </c>
      <c r="R77" s="1" t="s">
        <v>43</v>
      </c>
      <c r="S77" s="1" t="s">
        <v>44</v>
      </c>
      <c r="T77" s="1" t="s">
        <v>44</v>
      </c>
      <c r="U77" s="1" t="s">
        <v>44</v>
      </c>
      <c r="V77" s="1" t="s">
        <v>45</v>
      </c>
      <c r="W77" s="1" t="s">
        <v>230</v>
      </c>
      <c r="X77" s="1" t="s">
        <v>194</v>
      </c>
      <c r="Z77" s="1">
        <v>28</v>
      </c>
      <c r="AA77" s="1" t="s">
        <v>44</v>
      </c>
      <c r="AB77" s="1">
        <v>0</v>
      </c>
      <c r="AD77" s="1">
        <v>2</v>
      </c>
      <c r="AE77" s="1">
        <v>32.5</v>
      </c>
      <c r="AF77" s="1">
        <v>21.2</v>
      </c>
      <c r="AG77" s="1">
        <v>13.9</v>
      </c>
      <c r="AH77" s="1">
        <v>0.01</v>
      </c>
      <c r="AI77" s="1">
        <v>1.88</v>
      </c>
    </row>
    <row r="78" spans="1:35">
      <c r="A78" s="1" t="s">
        <v>233</v>
      </c>
      <c r="B78" s="1" t="s">
        <v>234</v>
      </c>
      <c r="D78" s="1" t="s">
        <v>37</v>
      </c>
      <c r="F78" s="1">
        <v>1</v>
      </c>
      <c r="G78" s="1">
        <v>1</v>
      </c>
      <c r="H78" t="s">
        <v>38</v>
      </c>
      <c r="I78">
        <f>IF(J78="Renceng",(M78/10),(M78/15))</f>
        <v>12</v>
      </c>
      <c r="J78" t="s">
        <v>149</v>
      </c>
      <c r="K78" s="1">
        <f>M78/I78</f>
        <v>10</v>
      </c>
      <c r="L78" s="1" t="s">
        <v>120</v>
      </c>
      <c r="M78" s="1">
        <v>120</v>
      </c>
      <c r="N78" s="1" t="s">
        <v>229</v>
      </c>
      <c r="O78" s="3">
        <v>12000</v>
      </c>
      <c r="P78" s="1" t="s">
        <v>41</v>
      </c>
      <c r="Q78" s="1" t="s">
        <v>42</v>
      </c>
      <c r="R78" s="1" t="s">
        <v>43</v>
      </c>
      <c r="S78" s="1" t="s">
        <v>44</v>
      </c>
      <c r="T78" s="1" t="s">
        <v>44</v>
      </c>
      <c r="U78" s="1" t="s">
        <v>44</v>
      </c>
      <c r="V78" s="1" t="s">
        <v>45</v>
      </c>
      <c r="W78" s="1" t="s">
        <v>46</v>
      </c>
      <c r="X78" s="1" t="s">
        <v>194</v>
      </c>
      <c r="Z78" s="1">
        <v>40</v>
      </c>
      <c r="AA78" s="1" t="s">
        <v>44</v>
      </c>
      <c r="AB78" s="1">
        <v>0</v>
      </c>
      <c r="AD78" s="1">
        <v>2</v>
      </c>
      <c r="AE78" s="1">
        <v>32.5</v>
      </c>
      <c r="AF78" s="1">
        <v>19.5</v>
      </c>
      <c r="AG78" s="1">
        <v>15</v>
      </c>
      <c r="AH78" s="1">
        <v>0.01</v>
      </c>
      <c r="AI78" s="1">
        <v>2.8</v>
      </c>
    </row>
    <row r="79" spans="1:35">
      <c r="A79" s="1" t="s">
        <v>235</v>
      </c>
      <c r="B79" s="1" t="s">
        <v>236</v>
      </c>
      <c r="D79" s="1" t="s">
        <v>37</v>
      </c>
      <c r="F79" s="1">
        <v>1</v>
      </c>
      <c r="G79" s="1">
        <v>1</v>
      </c>
      <c r="H79" s="1" t="s">
        <v>38</v>
      </c>
      <c r="I79" s="1">
        <f>IF(J79="Renceng",(M79/10),(M79/15))</f>
        <v>12</v>
      </c>
      <c r="J79" s="1" t="str">
        <f>IF(ISNUMBER(SEARCH("Rtg",B79)),"Renceng"," ")</f>
        <v>Renceng</v>
      </c>
      <c r="K79" s="1">
        <f>M79/I79</f>
        <v>10</v>
      </c>
      <c r="L79" s="1" t="s">
        <v>120</v>
      </c>
      <c r="M79" s="1">
        <v>120</v>
      </c>
      <c r="N79" s="1" t="s">
        <v>229</v>
      </c>
      <c r="O79" s="1">
        <v>1</v>
      </c>
      <c r="P79" s="1" t="s">
        <v>41</v>
      </c>
      <c r="Q79" s="1" t="s">
        <v>42</v>
      </c>
      <c r="R79" s="1" t="s">
        <v>43</v>
      </c>
      <c r="S79" s="1" t="s">
        <v>44</v>
      </c>
      <c r="T79" s="1" t="s">
        <v>44</v>
      </c>
      <c r="U79" s="1" t="s">
        <v>44</v>
      </c>
      <c r="V79" s="1" t="s">
        <v>45</v>
      </c>
      <c r="W79" s="1" t="s">
        <v>46</v>
      </c>
      <c r="X79" s="1" t="s">
        <v>194</v>
      </c>
      <c r="Z79" s="1">
        <v>40</v>
      </c>
      <c r="AA79" s="1" t="s">
        <v>44</v>
      </c>
      <c r="AB79" s="1">
        <v>0</v>
      </c>
      <c r="AD79" s="1">
        <v>2</v>
      </c>
      <c r="AE79" s="1">
        <v>32.5</v>
      </c>
      <c r="AF79" s="1">
        <v>21</v>
      </c>
      <c r="AG79" s="1">
        <v>16.2</v>
      </c>
      <c r="AH79" s="1">
        <v>0.01</v>
      </c>
      <c r="AI79" s="1">
        <v>2.44</v>
      </c>
    </row>
    <row r="80" spans="1:35">
      <c r="A80" t="s">
        <v>237</v>
      </c>
      <c r="B80" t="s">
        <v>238</v>
      </c>
      <c r="D80" t="s">
        <v>37</v>
      </c>
      <c r="F80">
        <v>1</v>
      </c>
      <c r="G80">
        <v>1</v>
      </c>
      <c r="H80" t="s">
        <v>38</v>
      </c>
      <c r="K80">
        <v>25</v>
      </c>
      <c r="L80" t="s">
        <v>53</v>
      </c>
      <c r="M80">
        <v>25</v>
      </c>
      <c r="N80" t="s">
        <v>211</v>
      </c>
      <c r="O80" s="2">
        <v>2500</v>
      </c>
      <c r="P80" t="s">
        <v>41</v>
      </c>
      <c r="Q80" t="s">
        <v>42</v>
      </c>
      <c r="R80" t="s">
        <v>43</v>
      </c>
      <c r="S80" t="s">
        <v>44</v>
      </c>
      <c r="T80" t="s">
        <v>44</v>
      </c>
      <c r="U80" t="s">
        <v>44</v>
      </c>
      <c r="V80" t="s">
        <v>161</v>
      </c>
      <c r="W80" t="s">
        <v>162</v>
      </c>
      <c r="X80" t="s">
        <v>163</v>
      </c>
      <c r="Z80">
        <v>200</v>
      </c>
      <c r="AA80" t="s">
        <v>44</v>
      </c>
      <c r="AB80">
        <v>573</v>
      </c>
      <c r="AD80">
        <v>2</v>
      </c>
      <c r="AE80">
        <v>42.5</v>
      </c>
      <c r="AF80">
        <v>23</v>
      </c>
      <c r="AG80">
        <v>21.6</v>
      </c>
      <c r="AH80">
        <v>0.02</v>
      </c>
      <c r="AI80">
        <v>5.66</v>
      </c>
    </row>
    <row r="81" spans="1:35">
      <c r="A81" t="s">
        <v>239</v>
      </c>
      <c r="B81" t="s">
        <v>240</v>
      </c>
      <c r="D81" t="s">
        <v>37</v>
      </c>
      <c r="F81">
        <v>1</v>
      </c>
      <c r="G81">
        <v>1</v>
      </c>
      <c r="H81" t="s">
        <v>38</v>
      </c>
      <c r="K81">
        <v>25</v>
      </c>
      <c r="L81" t="s">
        <v>53</v>
      </c>
      <c r="M81">
        <v>25</v>
      </c>
      <c r="N81" t="s">
        <v>211</v>
      </c>
      <c r="O81" s="2">
        <v>2500</v>
      </c>
      <c r="P81" t="s">
        <v>41</v>
      </c>
      <c r="Q81" t="s">
        <v>42</v>
      </c>
      <c r="R81" t="s">
        <v>43</v>
      </c>
      <c r="S81" t="s">
        <v>44</v>
      </c>
      <c r="T81" t="s">
        <v>44</v>
      </c>
      <c r="U81" t="s">
        <v>44</v>
      </c>
      <c r="V81" t="s">
        <v>161</v>
      </c>
      <c r="W81" t="s">
        <v>162</v>
      </c>
      <c r="X81" t="s">
        <v>163</v>
      </c>
      <c r="Z81">
        <v>200</v>
      </c>
      <c r="AA81" t="s">
        <v>44</v>
      </c>
      <c r="AB81">
        <v>0</v>
      </c>
      <c r="AD81">
        <v>2</v>
      </c>
      <c r="AE81">
        <v>42.5</v>
      </c>
      <c r="AF81">
        <v>23</v>
      </c>
      <c r="AG81">
        <v>21.6</v>
      </c>
      <c r="AH81">
        <v>0.02</v>
      </c>
      <c r="AI81">
        <v>5.66</v>
      </c>
    </row>
    <row r="82" spans="1:35">
      <c r="A82" t="s">
        <v>241</v>
      </c>
      <c r="B82" t="s">
        <v>242</v>
      </c>
      <c r="D82" t="s">
        <v>37</v>
      </c>
      <c r="F82">
        <v>1</v>
      </c>
      <c r="G82">
        <v>1</v>
      </c>
      <c r="H82" t="s">
        <v>38</v>
      </c>
      <c r="K82">
        <v>12</v>
      </c>
      <c r="L82" t="s">
        <v>53</v>
      </c>
      <c r="M82">
        <v>12</v>
      </c>
      <c r="N82" t="s">
        <v>216</v>
      </c>
      <c r="O82" s="2">
        <v>1200</v>
      </c>
      <c r="P82" t="s">
        <v>41</v>
      </c>
      <c r="Q82" t="s">
        <v>42</v>
      </c>
      <c r="R82" t="s">
        <v>43</v>
      </c>
      <c r="S82" t="s">
        <v>44</v>
      </c>
      <c r="T82" t="s">
        <v>44</v>
      </c>
      <c r="U82" t="s">
        <v>44</v>
      </c>
      <c r="V82" t="s">
        <v>161</v>
      </c>
      <c r="W82" t="s">
        <v>162</v>
      </c>
      <c r="X82" t="s">
        <v>163</v>
      </c>
      <c r="Z82">
        <v>400</v>
      </c>
      <c r="AA82" t="s">
        <v>44</v>
      </c>
      <c r="AB82">
        <v>253</v>
      </c>
      <c r="AD82">
        <v>2</v>
      </c>
      <c r="AE82">
        <v>42.5</v>
      </c>
      <c r="AF82">
        <v>23</v>
      </c>
      <c r="AG82">
        <v>21.6</v>
      </c>
      <c r="AH82">
        <v>0.02</v>
      </c>
      <c r="AI82">
        <v>5.49</v>
      </c>
    </row>
    <row r="83" spans="1:35">
      <c r="A83" t="s">
        <v>243</v>
      </c>
      <c r="B83" t="s">
        <v>244</v>
      </c>
      <c r="D83" t="s">
        <v>37</v>
      </c>
      <c r="F83">
        <v>1</v>
      </c>
      <c r="G83">
        <v>1</v>
      </c>
      <c r="H83" t="s">
        <v>38</v>
      </c>
      <c r="K83">
        <v>12</v>
      </c>
      <c r="L83" t="s">
        <v>53</v>
      </c>
      <c r="M83">
        <v>12</v>
      </c>
      <c r="N83" t="s">
        <v>216</v>
      </c>
      <c r="O83" s="2">
        <v>1200</v>
      </c>
      <c r="P83" t="s">
        <v>41</v>
      </c>
      <c r="Q83" t="s">
        <v>42</v>
      </c>
      <c r="R83" t="s">
        <v>43</v>
      </c>
      <c r="S83" t="s">
        <v>44</v>
      </c>
      <c r="T83" t="s">
        <v>44</v>
      </c>
      <c r="U83" t="s">
        <v>44</v>
      </c>
      <c r="V83" t="s">
        <v>161</v>
      </c>
      <c r="W83" t="s">
        <v>162</v>
      </c>
      <c r="X83" t="s">
        <v>163</v>
      </c>
      <c r="Z83">
        <v>400</v>
      </c>
      <c r="AA83" t="s">
        <v>44</v>
      </c>
      <c r="AB83">
        <v>0</v>
      </c>
      <c r="AD83">
        <v>2</v>
      </c>
      <c r="AE83">
        <v>42.5</v>
      </c>
      <c r="AF83">
        <v>23</v>
      </c>
      <c r="AG83">
        <v>21.6</v>
      </c>
      <c r="AH83">
        <v>0.02</v>
      </c>
      <c r="AI83">
        <v>5.49</v>
      </c>
    </row>
    <row r="84" spans="1:35">
      <c r="A84" t="s">
        <v>245</v>
      </c>
      <c r="B84" t="s">
        <v>246</v>
      </c>
      <c r="D84" t="s">
        <v>37</v>
      </c>
      <c r="F84">
        <v>1</v>
      </c>
      <c r="G84">
        <v>1</v>
      </c>
      <c r="H84" t="s">
        <v>38</v>
      </c>
      <c r="I84" t="str">
        <f>IF(ISNUMBER(SEARCH("Renceng",J84)),(K84/10)," ")</f>
        <v> </v>
      </c>
      <c r="J84" t="str">
        <f>IF(ISNUMBER(SEARCH("Rtg",B84)),"Renceng"," ")</f>
        <v> </v>
      </c>
      <c r="K84">
        <v>12</v>
      </c>
      <c r="L84" t="s">
        <v>53</v>
      </c>
      <c r="M84">
        <v>12</v>
      </c>
      <c r="N84" t="s">
        <v>216</v>
      </c>
      <c r="O84">
        <v>1</v>
      </c>
      <c r="P84" t="s">
        <v>41</v>
      </c>
      <c r="Q84" t="s">
        <v>42</v>
      </c>
      <c r="R84" t="s">
        <v>43</v>
      </c>
      <c r="S84" t="s">
        <v>44</v>
      </c>
      <c r="T84" t="s">
        <v>44</v>
      </c>
      <c r="U84" t="s">
        <v>44</v>
      </c>
      <c r="V84" t="s">
        <v>161</v>
      </c>
      <c r="W84" t="s">
        <v>162</v>
      </c>
      <c r="X84" t="s">
        <v>163</v>
      </c>
      <c r="Z84">
        <v>400</v>
      </c>
      <c r="AA84" t="s">
        <v>44</v>
      </c>
      <c r="AB84">
        <v>0</v>
      </c>
      <c r="AD84">
        <v>2</v>
      </c>
      <c r="AE84">
        <v>42.5</v>
      </c>
      <c r="AF84">
        <v>23</v>
      </c>
      <c r="AG84">
        <v>21.6</v>
      </c>
      <c r="AH84">
        <v>0.02</v>
      </c>
      <c r="AI84">
        <v>5.58</v>
      </c>
    </row>
    <row r="85" spans="1:35">
      <c r="A85" s="1" t="s">
        <v>247</v>
      </c>
      <c r="B85" s="1" t="s">
        <v>248</v>
      </c>
      <c r="D85" s="1" t="s">
        <v>37</v>
      </c>
      <c r="F85" s="1">
        <v>1</v>
      </c>
      <c r="G85" s="1">
        <v>1</v>
      </c>
      <c r="H85" s="1" t="s">
        <v>38</v>
      </c>
      <c r="I85" s="1">
        <f>IF(J85="Renceng",(M85/10),(M85/15))</f>
        <v>12</v>
      </c>
      <c r="J85" s="1" t="s">
        <v>149</v>
      </c>
      <c r="K85" s="1">
        <f>M85/I85</f>
        <v>10</v>
      </c>
      <c r="L85" s="1" t="s">
        <v>120</v>
      </c>
      <c r="M85" s="1">
        <v>120</v>
      </c>
      <c r="N85" s="1" t="s">
        <v>229</v>
      </c>
      <c r="O85" s="3">
        <v>12000</v>
      </c>
      <c r="P85" s="1" t="s">
        <v>41</v>
      </c>
      <c r="Q85" s="1" t="s">
        <v>42</v>
      </c>
      <c r="R85" s="1" t="s">
        <v>43</v>
      </c>
      <c r="S85" s="1" t="s">
        <v>44</v>
      </c>
      <c r="T85" s="1" t="s">
        <v>44</v>
      </c>
      <c r="U85" s="1" t="s">
        <v>44</v>
      </c>
      <c r="V85" s="1" t="s">
        <v>45</v>
      </c>
      <c r="W85" s="1" t="s">
        <v>46</v>
      </c>
      <c r="X85" s="1" t="s">
        <v>194</v>
      </c>
      <c r="Z85" s="1">
        <v>80</v>
      </c>
      <c r="AA85" s="1" t="s">
        <v>44</v>
      </c>
      <c r="AB85" s="1">
        <v>0</v>
      </c>
      <c r="AD85" s="1">
        <v>2</v>
      </c>
      <c r="AE85" s="1">
        <v>32.5</v>
      </c>
      <c r="AF85" s="1">
        <v>21</v>
      </c>
      <c r="AG85" s="1">
        <v>16.2</v>
      </c>
      <c r="AH85" s="1">
        <v>0.01</v>
      </c>
      <c r="AI85" s="1">
        <v>2.43</v>
      </c>
    </row>
    <row r="86" hidden="1" spans="1:35">
      <c r="A86" s="1" t="s">
        <v>249</v>
      </c>
      <c r="B86" s="1" t="s">
        <v>250</v>
      </c>
      <c r="D86" s="1" t="s">
        <v>37</v>
      </c>
      <c r="F86" s="1">
        <v>1</v>
      </c>
      <c r="G86" s="1">
        <v>1</v>
      </c>
      <c r="H86" s="1"/>
      <c r="I86" s="1"/>
      <c r="J86" s="1"/>
      <c r="K86" s="1">
        <v>1</v>
      </c>
      <c r="L86" s="1" t="s">
        <v>120</v>
      </c>
      <c r="M86" s="1">
        <v>120</v>
      </c>
      <c r="N86" s="1" t="s">
        <v>229</v>
      </c>
      <c r="O86" s="1">
        <v>1</v>
      </c>
      <c r="P86" s="1" t="s">
        <v>41</v>
      </c>
      <c r="Q86" s="1" t="s">
        <v>42</v>
      </c>
      <c r="R86" s="1" t="s">
        <v>43</v>
      </c>
      <c r="S86" s="1" t="s">
        <v>44</v>
      </c>
      <c r="T86" s="1" t="s">
        <v>44</v>
      </c>
      <c r="U86" s="1" t="s">
        <v>44</v>
      </c>
      <c r="V86" s="1" t="s">
        <v>45</v>
      </c>
      <c r="W86" s="1" t="s">
        <v>46</v>
      </c>
      <c r="X86" s="1" t="s">
        <v>194</v>
      </c>
      <c r="Z86" s="1">
        <v>80</v>
      </c>
      <c r="AA86" s="1" t="s">
        <v>44</v>
      </c>
      <c r="AB86" s="1">
        <v>0</v>
      </c>
      <c r="AD86" s="1">
        <v>2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</row>
    <row r="87" spans="1:35">
      <c r="A87" s="1" t="s">
        <v>251</v>
      </c>
      <c r="B87" s="1" t="s">
        <v>252</v>
      </c>
      <c r="D87" s="1" t="s">
        <v>37</v>
      </c>
      <c r="F87" s="1">
        <v>1</v>
      </c>
      <c r="G87" s="1">
        <v>1</v>
      </c>
      <c r="H87" s="1" t="s">
        <v>38</v>
      </c>
      <c r="I87" s="1"/>
      <c r="J87" s="1"/>
      <c r="K87" s="1">
        <v>20</v>
      </c>
      <c r="L87" s="1" t="s">
        <v>120</v>
      </c>
      <c r="M87" s="1">
        <v>20</v>
      </c>
      <c r="N87" s="1" t="s">
        <v>223</v>
      </c>
      <c r="O87" s="3">
        <v>2000</v>
      </c>
      <c r="P87" s="1" t="s">
        <v>41</v>
      </c>
      <c r="Q87" s="1" t="s">
        <v>42</v>
      </c>
      <c r="R87" s="1" t="s">
        <v>43</v>
      </c>
      <c r="S87" s="1" t="s">
        <v>44</v>
      </c>
      <c r="T87" s="1" t="s">
        <v>44</v>
      </c>
      <c r="U87" s="1" t="s">
        <v>44</v>
      </c>
      <c r="V87" s="1" t="s">
        <v>45</v>
      </c>
      <c r="W87" s="1" t="s">
        <v>46</v>
      </c>
      <c r="X87" s="1" t="s">
        <v>194</v>
      </c>
      <c r="Z87" s="1">
        <v>200</v>
      </c>
      <c r="AA87" s="1" t="s">
        <v>44</v>
      </c>
      <c r="AB87" s="1">
        <v>0</v>
      </c>
      <c r="AD87" s="1">
        <v>2</v>
      </c>
      <c r="AE87" s="1">
        <v>38.8</v>
      </c>
      <c r="AF87" s="1">
        <v>24.9</v>
      </c>
      <c r="AG87" s="1">
        <v>17.9</v>
      </c>
      <c r="AH87" s="1">
        <v>0.02</v>
      </c>
      <c r="AI87" s="1">
        <v>4.32</v>
      </c>
    </row>
    <row r="88" spans="1:35">
      <c r="A88" s="1" t="s">
        <v>253</v>
      </c>
      <c r="B88" s="1" t="s">
        <v>254</v>
      </c>
      <c r="D88" s="1" t="s">
        <v>37</v>
      </c>
      <c r="F88" s="1">
        <v>1</v>
      </c>
      <c r="G88" s="1">
        <v>1</v>
      </c>
      <c r="H88" s="1" t="s">
        <v>38</v>
      </c>
      <c r="I88" s="1">
        <f>IF(J88="Renceng",(M88/10),(M88/15))</f>
        <v>12</v>
      </c>
      <c r="J88" s="1" t="s">
        <v>149</v>
      </c>
      <c r="K88" s="1">
        <f>M88/I88</f>
        <v>10</v>
      </c>
      <c r="L88" s="1" t="s">
        <v>120</v>
      </c>
      <c r="M88" s="1">
        <v>120</v>
      </c>
      <c r="N88" s="1" t="s">
        <v>229</v>
      </c>
      <c r="O88" s="3">
        <v>12000</v>
      </c>
      <c r="P88" s="1" t="s">
        <v>41</v>
      </c>
      <c r="Q88" s="1" t="s">
        <v>42</v>
      </c>
      <c r="R88" s="1" t="s">
        <v>43</v>
      </c>
      <c r="S88" s="1" t="s">
        <v>44</v>
      </c>
      <c r="T88" s="1" t="s">
        <v>44</v>
      </c>
      <c r="U88" s="1" t="s">
        <v>44</v>
      </c>
      <c r="V88" s="1" t="s">
        <v>45</v>
      </c>
      <c r="W88" s="1" t="s">
        <v>151</v>
      </c>
      <c r="X88" s="1" t="s">
        <v>194</v>
      </c>
      <c r="Z88" s="1">
        <v>23</v>
      </c>
      <c r="AA88" s="1" t="s">
        <v>44</v>
      </c>
      <c r="AB88" s="1">
        <v>3</v>
      </c>
      <c r="AD88" s="1">
        <v>2</v>
      </c>
      <c r="AE88" s="1">
        <v>33</v>
      </c>
      <c r="AF88" s="1">
        <v>20.5</v>
      </c>
      <c r="AG88" s="1">
        <v>21.1</v>
      </c>
      <c r="AH88" s="1">
        <v>0.01</v>
      </c>
      <c r="AI88" s="1">
        <v>3.77</v>
      </c>
    </row>
    <row r="89" spans="1:35">
      <c r="A89" s="1" t="s">
        <v>255</v>
      </c>
      <c r="B89" s="1" t="s">
        <v>256</v>
      </c>
      <c r="D89" s="1" t="s">
        <v>37</v>
      </c>
      <c r="F89" s="1">
        <v>1</v>
      </c>
      <c r="G89" s="1">
        <v>1</v>
      </c>
      <c r="H89" t="s">
        <v>38</v>
      </c>
      <c r="I89">
        <f>IF(J89="Renceng",(M89/10),(M89/15))</f>
        <v>12</v>
      </c>
      <c r="J89" t="s">
        <v>149</v>
      </c>
      <c r="K89" s="1">
        <f>M89/I89</f>
        <v>10</v>
      </c>
      <c r="L89" s="1" t="s">
        <v>120</v>
      </c>
      <c r="M89" s="1">
        <v>120</v>
      </c>
      <c r="N89" s="1" t="s">
        <v>229</v>
      </c>
      <c r="O89" s="3">
        <v>12000</v>
      </c>
      <c r="P89" s="1" t="s">
        <v>41</v>
      </c>
      <c r="Q89" s="1" t="s">
        <v>42</v>
      </c>
      <c r="R89" s="1" t="s">
        <v>43</v>
      </c>
      <c r="S89" s="1" t="s">
        <v>44</v>
      </c>
      <c r="T89" s="1" t="s">
        <v>44</v>
      </c>
      <c r="U89" s="1" t="s">
        <v>44</v>
      </c>
      <c r="V89" s="1" t="s">
        <v>45</v>
      </c>
      <c r="W89" s="1" t="s">
        <v>230</v>
      </c>
      <c r="X89" s="1" t="s">
        <v>194</v>
      </c>
      <c r="Z89" s="1">
        <v>30</v>
      </c>
      <c r="AA89" s="1" t="s">
        <v>44</v>
      </c>
      <c r="AB89" s="1">
        <v>0</v>
      </c>
      <c r="AD89" s="1">
        <v>2</v>
      </c>
      <c r="AE89" s="1">
        <v>35.6</v>
      </c>
      <c r="AF89" s="1">
        <v>24.5</v>
      </c>
      <c r="AG89" s="1">
        <v>24</v>
      </c>
      <c r="AH89" s="1">
        <v>0.02</v>
      </c>
      <c r="AI89" s="1">
        <v>5.37</v>
      </c>
    </row>
    <row r="90" spans="1:35">
      <c r="A90" s="1" t="s">
        <v>257</v>
      </c>
      <c r="B90" s="1" t="s">
        <v>258</v>
      </c>
      <c r="D90" s="1" t="s">
        <v>37</v>
      </c>
      <c r="F90" s="1">
        <v>1</v>
      </c>
      <c r="G90" s="1">
        <v>1</v>
      </c>
      <c r="H90" s="1" t="s">
        <v>38</v>
      </c>
      <c r="I90" s="1">
        <f>IF(J90="Renceng",(M90/10),(M90/15))</f>
        <v>20</v>
      </c>
      <c r="J90" s="1" t="s">
        <v>149</v>
      </c>
      <c r="K90" s="1">
        <f>M90/I90</f>
        <v>10</v>
      </c>
      <c r="L90" s="1" t="s">
        <v>120</v>
      </c>
      <c r="M90" s="1">
        <v>200</v>
      </c>
      <c r="N90" s="1" t="s">
        <v>199</v>
      </c>
      <c r="O90" s="3">
        <v>20000</v>
      </c>
      <c r="P90" s="1" t="s">
        <v>41</v>
      </c>
      <c r="Q90" s="1" t="s">
        <v>42</v>
      </c>
      <c r="R90" s="1" t="s">
        <v>43</v>
      </c>
      <c r="S90" s="1" t="s">
        <v>44</v>
      </c>
      <c r="T90" s="1" t="s">
        <v>44</v>
      </c>
      <c r="U90" s="1" t="s">
        <v>44</v>
      </c>
      <c r="V90" s="1" t="s">
        <v>45</v>
      </c>
      <c r="W90" s="1" t="s">
        <v>46</v>
      </c>
      <c r="X90" s="1" t="s">
        <v>194</v>
      </c>
      <c r="Z90" s="1">
        <v>18</v>
      </c>
      <c r="AA90" s="1" t="s">
        <v>44</v>
      </c>
      <c r="AB90" s="1">
        <v>0</v>
      </c>
      <c r="AD90" s="1">
        <v>2</v>
      </c>
      <c r="AE90" s="1">
        <v>42</v>
      </c>
      <c r="AF90" s="1">
        <v>22</v>
      </c>
      <c r="AG90" s="1">
        <v>19.5</v>
      </c>
      <c r="AH90" s="1">
        <v>0.02</v>
      </c>
      <c r="AI90" s="1">
        <v>3.39</v>
      </c>
    </row>
    <row r="91" hidden="1" spans="1:35">
      <c r="A91" t="s">
        <v>259</v>
      </c>
      <c r="B91" t="s">
        <v>260</v>
      </c>
      <c r="D91" t="s">
        <v>37</v>
      </c>
      <c r="F91">
        <v>1</v>
      </c>
      <c r="G91">
        <v>1</v>
      </c>
      <c r="H91" t="s">
        <v>135</v>
      </c>
      <c r="K91">
        <v>1</v>
      </c>
      <c r="L91" t="s">
        <v>135</v>
      </c>
      <c r="M91" t="s">
        <v>136</v>
      </c>
      <c r="N91" t="s">
        <v>136</v>
      </c>
      <c r="O91">
        <v>50</v>
      </c>
      <c r="P91" t="s">
        <v>41</v>
      </c>
      <c r="Q91" t="s">
        <v>42</v>
      </c>
      <c r="R91" t="s">
        <v>43</v>
      </c>
      <c r="S91" t="s">
        <v>44</v>
      </c>
      <c r="T91" t="s">
        <v>44</v>
      </c>
      <c r="U91" t="s">
        <v>44</v>
      </c>
      <c r="V91" t="s">
        <v>45</v>
      </c>
      <c r="W91" t="s">
        <v>55</v>
      </c>
      <c r="X91" t="s">
        <v>162</v>
      </c>
      <c r="Z91" s="2">
        <v>1000</v>
      </c>
      <c r="AA91" t="s">
        <v>44</v>
      </c>
      <c r="AB91">
        <v>0</v>
      </c>
      <c r="AD91">
        <v>2</v>
      </c>
      <c r="AE91">
        <v>0</v>
      </c>
      <c r="AF91">
        <v>0</v>
      </c>
      <c r="AG91">
        <v>0</v>
      </c>
      <c r="AH91">
        <v>0</v>
      </c>
      <c r="AI91">
        <v>0</v>
      </c>
    </row>
    <row r="92" hidden="1" spans="1:35">
      <c r="A92" t="s">
        <v>261</v>
      </c>
      <c r="B92" t="s">
        <v>262</v>
      </c>
      <c r="D92" t="s">
        <v>37</v>
      </c>
      <c r="F92">
        <v>1</v>
      </c>
      <c r="G92">
        <v>1</v>
      </c>
      <c r="H92" t="s">
        <v>135</v>
      </c>
      <c r="K92">
        <v>1</v>
      </c>
      <c r="L92" t="s">
        <v>135</v>
      </c>
      <c r="M92" t="s">
        <v>136</v>
      </c>
      <c r="N92" t="s">
        <v>136</v>
      </c>
      <c r="O92">
        <v>50</v>
      </c>
      <c r="P92" t="s">
        <v>41</v>
      </c>
      <c r="Q92" t="s">
        <v>42</v>
      </c>
      <c r="R92" t="s">
        <v>43</v>
      </c>
      <c r="S92" t="s">
        <v>44</v>
      </c>
      <c r="T92" t="s">
        <v>44</v>
      </c>
      <c r="U92" t="s">
        <v>44</v>
      </c>
      <c r="V92" t="s">
        <v>45</v>
      </c>
      <c r="W92" t="s">
        <v>55</v>
      </c>
      <c r="X92" t="s">
        <v>162</v>
      </c>
      <c r="Z92" s="2">
        <v>1000</v>
      </c>
      <c r="AA92" t="s">
        <v>44</v>
      </c>
      <c r="AB92">
        <v>0</v>
      </c>
      <c r="AD92">
        <v>2</v>
      </c>
      <c r="AE92">
        <v>0</v>
      </c>
      <c r="AF92">
        <v>0</v>
      </c>
      <c r="AG92">
        <v>0</v>
      </c>
      <c r="AH92">
        <v>0</v>
      </c>
      <c r="AI92">
        <v>0</v>
      </c>
    </row>
    <row r="93" hidden="1" spans="1:35">
      <c r="A93" t="s">
        <v>263</v>
      </c>
      <c r="B93" t="s">
        <v>264</v>
      </c>
      <c r="D93" t="s">
        <v>37</v>
      </c>
      <c r="F93">
        <v>1</v>
      </c>
      <c r="G93">
        <v>1</v>
      </c>
      <c r="H93" t="s">
        <v>135</v>
      </c>
      <c r="K93">
        <v>1</v>
      </c>
      <c r="L93" t="s">
        <v>135</v>
      </c>
      <c r="M93" t="s">
        <v>136</v>
      </c>
      <c r="N93" t="s">
        <v>136</v>
      </c>
      <c r="O93">
        <v>50</v>
      </c>
      <c r="P93" t="s">
        <v>41</v>
      </c>
      <c r="Q93" t="s">
        <v>42</v>
      </c>
      <c r="R93" t="s">
        <v>43</v>
      </c>
      <c r="S93" t="s">
        <v>44</v>
      </c>
      <c r="T93" t="s">
        <v>44</v>
      </c>
      <c r="U93" t="s">
        <v>44</v>
      </c>
      <c r="V93" t="s">
        <v>45</v>
      </c>
      <c r="W93" t="s">
        <v>55</v>
      </c>
      <c r="X93" t="s">
        <v>162</v>
      </c>
      <c r="Z93" s="2">
        <v>1000</v>
      </c>
      <c r="AA93" t="s">
        <v>44</v>
      </c>
      <c r="AB93">
        <v>0</v>
      </c>
      <c r="AD93">
        <v>2</v>
      </c>
      <c r="AE93">
        <v>0</v>
      </c>
      <c r="AF93">
        <v>0</v>
      </c>
      <c r="AG93">
        <v>0</v>
      </c>
      <c r="AH93">
        <v>0</v>
      </c>
      <c r="AI93">
        <v>0</v>
      </c>
    </row>
    <row r="94" hidden="1" spans="1:35">
      <c r="A94" t="s">
        <v>265</v>
      </c>
      <c r="B94" t="s">
        <v>266</v>
      </c>
      <c r="D94" t="s">
        <v>37</v>
      </c>
      <c r="F94">
        <v>1</v>
      </c>
      <c r="G94">
        <v>1</v>
      </c>
      <c r="H94" t="s">
        <v>135</v>
      </c>
      <c r="K94">
        <v>1</v>
      </c>
      <c r="L94" t="s">
        <v>135</v>
      </c>
      <c r="M94" t="s">
        <v>136</v>
      </c>
      <c r="N94" t="s">
        <v>136</v>
      </c>
      <c r="O94">
        <v>50</v>
      </c>
      <c r="P94" t="s">
        <v>41</v>
      </c>
      <c r="Q94" t="s">
        <v>42</v>
      </c>
      <c r="R94" t="s">
        <v>43</v>
      </c>
      <c r="S94" t="s">
        <v>44</v>
      </c>
      <c r="T94" t="s">
        <v>44</v>
      </c>
      <c r="U94" t="s">
        <v>44</v>
      </c>
      <c r="V94" t="s">
        <v>45</v>
      </c>
      <c r="W94" t="s">
        <v>55</v>
      </c>
      <c r="X94" t="s">
        <v>162</v>
      </c>
      <c r="Z94" s="2">
        <v>1000</v>
      </c>
      <c r="AA94" t="s">
        <v>44</v>
      </c>
      <c r="AB94">
        <v>0</v>
      </c>
      <c r="AD94">
        <v>2</v>
      </c>
      <c r="AE94">
        <v>0</v>
      </c>
      <c r="AF94">
        <v>0</v>
      </c>
      <c r="AG94">
        <v>0</v>
      </c>
      <c r="AH94">
        <v>0</v>
      </c>
      <c r="AI94">
        <v>0</v>
      </c>
    </row>
    <row r="95" hidden="1" spans="1:35">
      <c r="A95" t="s">
        <v>267</v>
      </c>
      <c r="B95" t="s">
        <v>268</v>
      </c>
      <c r="D95" t="s">
        <v>37</v>
      </c>
      <c r="F95">
        <v>1</v>
      </c>
      <c r="G95">
        <v>1</v>
      </c>
      <c r="H95" t="s">
        <v>135</v>
      </c>
      <c r="K95">
        <v>1</v>
      </c>
      <c r="L95" t="s">
        <v>135</v>
      </c>
      <c r="M95" t="s">
        <v>136</v>
      </c>
      <c r="N95" t="s">
        <v>136</v>
      </c>
      <c r="O95">
        <v>500</v>
      </c>
      <c r="P95" t="s">
        <v>41</v>
      </c>
      <c r="Q95" t="s">
        <v>42</v>
      </c>
      <c r="R95" t="s">
        <v>43</v>
      </c>
      <c r="S95" t="s">
        <v>44</v>
      </c>
      <c r="T95" t="s">
        <v>44</v>
      </c>
      <c r="U95" t="s">
        <v>44</v>
      </c>
      <c r="V95" t="s">
        <v>45</v>
      </c>
      <c r="W95" t="s">
        <v>46</v>
      </c>
      <c r="X95" t="s">
        <v>162</v>
      </c>
      <c r="Z95" s="2">
        <v>1000</v>
      </c>
      <c r="AA95" t="s">
        <v>44</v>
      </c>
      <c r="AB95">
        <v>0</v>
      </c>
      <c r="AD95">
        <v>2</v>
      </c>
      <c r="AE95">
        <v>0</v>
      </c>
      <c r="AF95">
        <v>0</v>
      </c>
      <c r="AG95">
        <v>0</v>
      </c>
      <c r="AH95">
        <v>0</v>
      </c>
      <c r="AI95">
        <v>0</v>
      </c>
    </row>
    <row r="96" hidden="1" spans="1:35">
      <c r="A96" t="s">
        <v>269</v>
      </c>
      <c r="B96" t="s">
        <v>270</v>
      </c>
      <c r="D96" t="s">
        <v>37</v>
      </c>
      <c r="F96">
        <v>1</v>
      </c>
      <c r="G96">
        <v>1</v>
      </c>
      <c r="H96" t="s">
        <v>135</v>
      </c>
      <c r="K96">
        <v>1</v>
      </c>
      <c r="L96" t="s">
        <v>135</v>
      </c>
      <c r="M96" t="s">
        <v>136</v>
      </c>
      <c r="N96" t="s">
        <v>136</v>
      </c>
      <c r="O96">
        <v>5</v>
      </c>
      <c r="P96" t="s">
        <v>41</v>
      </c>
      <c r="Q96" t="s">
        <v>42</v>
      </c>
      <c r="R96" t="s">
        <v>43</v>
      </c>
      <c r="S96" t="s">
        <v>44</v>
      </c>
      <c r="T96" t="s">
        <v>44</v>
      </c>
      <c r="U96" t="s">
        <v>44</v>
      </c>
      <c r="V96" t="s">
        <v>45</v>
      </c>
      <c r="W96" t="s">
        <v>55</v>
      </c>
      <c r="X96" t="s">
        <v>194</v>
      </c>
      <c r="Z96" s="2">
        <v>1000</v>
      </c>
      <c r="AA96" t="s">
        <v>44</v>
      </c>
      <c r="AB96">
        <v>120</v>
      </c>
      <c r="AD96">
        <v>2</v>
      </c>
      <c r="AE96">
        <v>0</v>
      </c>
      <c r="AF96">
        <v>0</v>
      </c>
      <c r="AG96">
        <v>0</v>
      </c>
      <c r="AH96">
        <v>0</v>
      </c>
      <c r="AI96">
        <v>5.05</v>
      </c>
    </row>
    <row r="97" hidden="1" spans="1:35">
      <c r="A97" t="s">
        <v>271</v>
      </c>
      <c r="B97" t="s">
        <v>272</v>
      </c>
      <c r="D97" t="s">
        <v>37</v>
      </c>
      <c r="F97">
        <v>1</v>
      </c>
      <c r="G97">
        <v>1</v>
      </c>
      <c r="H97" t="s">
        <v>135</v>
      </c>
      <c r="K97">
        <v>1</v>
      </c>
      <c r="L97" t="s">
        <v>135</v>
      </c>
      <c r="M97" t="s">
        <v>136</v>
      </c>
      <c r="N97" t="s">
        <v>136</v>
      </c>
      <c r="O97">
        <v>10</v>
      </c>
      <c r="P97" t="s">
        <v>41</v>
      </c>
      <c r="Q97" t="s">
        <v>42</v>
      </c>
      <c r="R97" t="s">
        <v>43</v>
      </c>
      <c r="S97" t="s">
        <v>44</v>
      </c>
      <c r="T97" t="s">
        <v>44</v>
      </c>
      <c r="U97" t="s">
        <v>44</v>
      </c>
      <c r="V97" t="s">
        <v>45</v>
      </c>
      <c r="W97" t="s">
        <v>46</v>
      </c>
      <c r="X97" t="s">
        <v>194</v>
      </c>
      <c r="Z97" s="2">
        <v>1000</v>
      </c>
      <c r="AA97" t="s">
        <v>44</v>
      </c>
      <c r="AB97">
        <v>130</v>
      </c>
      <c r="AD97">
        <v>2</v>
      </c>
      <c r="AE97">
        <v>0</v>
      </c>
      <c r="AF97">
        <v>0</v>
      </c>
      <c r="AG97">
        <v>0</v>
      </c>
      <c r="AH97">
        <v>0</v>
      </c>
      <c r="AI97">
        <v>10.03</v>
      </c>
    </row>
    <row r="98" hidden="1" spans="1:35">
      <c r="A98" t="s">
        <v>273</v>
      </c>
      <c r="B98" t="s">
        <v>274</v>
      </c>
      <c r="D98" t="s">
        <v>37</v>
      </c>
      <c r="F98">
        <v>1</v>
      </c>
      <c r="G98">
        <v>1</v>
      </c>
      <c r="H98" t="s">
        <v>135</v>
      </c>
      <c r="K98">
        <v>1</v>
      </c>
      <c r="L98" t="s">
        <v>135</v>
      </c>
      <c r="M98" t="s">
        <v>136</v>
      </c>
      <c r="N98" t="s">
        <v>136</v>
      </c>
      <c r="O98">
        <v>5</v>
      </c>
      <c r="P98" t="s">
        <v>41</v>
      </c>
      <c r="Q98" t="s">
        <v>42</v>
      </c>
      <c r="R98" t="s">
        <v>43</v>
      </c>
      <c r="S98" t="s">
        <v>44</v>
      </c>
      <c r="T98" t="s">
        <v>44</v>
      </c>
      <c r="U98" t="s">
        <v>44</v>
      </c>
      <c r="V98" t="s">
        <v>45</v>
      </c>
      <c r="W98" t="s">
        <v>46</v>
      </c>
      <c r="X98" t="s">
        <v>194</v>
      </c>
      <c r="Z98" s="2">
        <v>1000</v>
      </c>
      <c r="AA98" t="s">
        <v>44</v>
      </c>
      <c r="AB98">
        <v>70</v>
      </c>
      <c r="AD98">
        <v>2</v>
      </c>
      <c r="AE98">
        <v>0</v>
      </c>
      <c r="AF98">
        <v>0</v>
      </c>
      <c r="AG98">
        <v>0</v>
      </c>
      <c r="AH98">
        <v>0</v>
      </c>
      <c r="AI98">
        <v>5.06</v>
      </c>
    </row>
    <row r="99" hidden="1" spans="1:35">
      <c r="A99" t="s">
        <v>275</v>
      </c>
      <c r="B99" t="s">
        <v>276</v>
      </c>
      <c r="D99" t="s">
        <v>37</v>
      </c>
      <c r="F99">
        <v>1</v>
      </c>
      <c r="G99">
        <v>1</v>
      </c>
      <c r="H99" t="s">
        <v>135</v>
      </c>
      <c r="K99">
        <v>1</v>
      </c>
      <c r="L99" t="s">
        <v>135</v>
      </c>
      <c r="M99" t="s">
        <v>136</v>
      </c>
      <c r="N99" t="s">
        <v>136</v>
      </c>
      <c r="O99">
        <v>5</v>
      </c>
      <c r="P99" t="s">
        <v>41</v>
      </c>
      <c r="Q99" t="s">
        <v>42</v>
      </c>
      <c r="R99" t="s">
        <v>43</v>
      </c>
      <c r="S99" t="s">
        <v>44</v>
      </c>
      <c r="T99" t="s">
        <v>44</v>
      </c>
      <c r="U99" t="s">
        <v>44</v>
      </c>
      <c r="V99" t="s">
        <v>45</v>
      </c>
      <c r="W99" t="s">
        <v>46</v>
      </c>
      <c r="X99" t="s">
        <v>194</v>
      </c>
      <c r="Z99" s="2">
        <v>1000</v>
      </c>
      <c r="AA99" t="s">
        <v>44</v>
      </c>
      <c r="AB99">
        <v>170</v>
      </c>
      <c r="AD99">
        <v>2</v>
      </c>
      <c r="AE99">
        <v>0</v>
      </c>
      <c r="AF99">
        <v>0</v>
      </c>
      <c r="AG99">
        <v>0</v>
      </c>
      <c r="AH99">
        <v>0</v>
      </c>
      <c r="AI99">
        <v>5.03</v>
      </c>
    </row>
    <row r="100" spans="1:35">
      <c r="A100" s="1" t="s">
        <v>277</v>
      </c>
      <c r="B100" s="1" t="s">
        <v>278</v>
      </c>
      <c r="D100" s="1" t="s">
        <v>37</v>
      </c>
      <c r="F100" s="1">
        <v>1</v>
      </c>
      <c r="G100" s="1">
        <v>1</v>
      </c>
      <c r="H100" s="1" t="s">
        <v>38</v>
      </c>
      <c r="I100">
        <f>IF(J100="Renceng",(M100/10),(M100/15))</f>
        <v>5</v>
      </c>
      <c r="J100" t="s">
        <v>149</v>
      </c>
      <c r="K100" s="1">
        <v>50</v>
      </c>
      <c r="L100" s="1" t="s">
        <v>120</v>
      </c>
      <c r="M100" s="1">
        <v>50</v>
      </c>
      <c r="N100" s="1" t="s">
        <v>205</v>
      </c>
      <c r="O100" s="3">
        <v>5000</v>
      </c>
      <c r="P100" s="1" t="s">
        <v>41</v>
      </c>
      <c r="Q100" s="1" t="s">
        <v>42</v>
      </c>
      <c r="R100" s="1" t="s">
        <v>43</v>
      </c>
      <c r="S100" s="1" t="s">
        <v>44</v>
      </c>
      <c r="T100" s="1" t="s">
        <v>44</v>
      </c>
      <c r="U100" s="1" t="s">
        <v>44</v>
      </c>
      <c r="V100" s="1" t="s">
        <v>45</v>
      </c>
      <c r="W100" s="1" t="s">
        <v>46</v>
      </c>
      <c r="X100" s="1" t="s">
        <v>194</v>
      </c>
      <c r="Z100" s="1">
        <v>60</v>
      </c>
      <c r="AA100" s="1" t="s">
        <v>44</v>
      </c>
      <c r="AB100" s="3">
        <v>3140</v>
      </c>
      <c r="AD100" s="1">
        <v>2</v>
      </c>
      <c r="AE100" s="1">
        <v>38.6</v>
      </c>
      <c r="AF100" s="1">
        <v>25.6</v>
      </c>
      <c r="AG100" s="1">
        <v>17.8</v>
      </c>
      <c r="AH100" s="1">
        <v>0.02</v>
      </c>
      <c r="AI100" s="1">
        <v>3.55</v>
      </c>
    </row>
    <row r="101" hidden="1" spans="1:35">
      <c r="A101" t="s">
        <v>279</v>
      </c>
      <c r="B101" t="s">
        <v>280</v>
      </c>
      <c r="D101" t="s">
        <v>37</v>
      </c>
      <c r="F101">
        <v>1</v>
      </c>
      <c r="G101">
        <v>1</v>
      </c>
      <c r="K101">
        <v>1</v>
      </c>
      <c r="L101" t="s">
        <v>53</v>
      </c>
      <c r="M101">
        <v>5</v>
      </c>
      <c r="N101" t="s">
        <v>113</v>
      </c>
      <c r="O101">
        <v>5</v>
      </c>
      <c r="P101" t="s">
        <v>41</v>
      </c>
      <c r="Q101" t="s">
        <v>42</v>
      </c>
      <c r="R101" t="s">
        <v>43</v>
      </c>
      <c r="S101" t="s">
        <v>44</v>
      </c>
      <c r="T101" t="s">
        <v>44</v>
      </c>
      <c r="U101" t="s">
        <v>44</v>
      </c>
      <c r="V101" t="s">
        <v>106</v>
      </c>
      <c r="W101" t="s">
        <v>281</v>
      </c>
      <c r="X101" t="s">
        <v>282</v>
      </c>
      <c r="Z101" s="2">
        <v>1000</v>
      </c>
      <c r="AA101" t="s">
        <v>44</v>
      </c>
      <c r="AB101">
        <v>2</v>
      </c>
      <c r="AD101">
        <v>2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hidden="1" spans="1:35">
      <c r="A102" t="s">
        <v>283</v>
      </c>
      <c r="B102" t="s">
        <v>284</v>
      </c>
      <c r="D102" t="s">
        <v>37</v>
      </c>
      <c r="F102">
        <v>1</v>
      </c>
      <c r="G102">
        <v>1</v>
      </c>
      <c r="K102">
        <v>1</v>
      </c>
      <c r="L102" t="s">
        <v>53</v>
      </c>
      <c r="M102">
        <v>5</v>
      </c>
      <c r="N102" t="s">
        <v>113</v>
      </c>
      <c r="O102">
        <v>5</v>
      </c>
      <c r="P102" t="s">
        <v>41</v>
      </c>
      <c r="Q102" t="s">
        <v>42</v>
      </c>
      <c r="R102" t="s">
        <v>43</v>
      </c>
      <c r="S102" t="s">
        <v>44</v>
      </c>
      <c r="T102" t="s">
        <v>44</v>
      </c>
      <c r="U102" t="s">
        <v>44</v>
      </c>
      <c r="V102" t="s">
        <v>106</v>
      </c>
      <c r="W102" t="s">
        <v>281</v>
      </c>
      <c r="X102" t="s">
        <v>282</v>
      </c>
      <c r="Z102" s="2">
        <v>1000</v>
      </c>
      <c r="AA102" t="s">
        <v>44</v>
      </c>
      <c r="AB102">
        <v>1</v>
      </c>
      <c r="AD102">
        <v>2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hidden="1" spans="1:35">
      <c r="A103" t="s">
        <v>285</v>
      </c>
      <c r="B103" t="s">
        <v>286</v>
      </c>
      <c r="D103" t="s">
        <v>37</v>
      </c>
      <c r="F103">
        <v>1</v>
      </c>
      <c r="G103">
        <v>1</v>
      </c>
      <c r="K103">
        <v>1</v>
      </c>
      <c r="L103" t="s">
        <v>53</v>
      </c>
      <c r="M103">
        <v>5</v>
      </c>
      <c r="N103" t="s">
        <v>113</v>
      </c>
      <c r="O103">
        <v>5</v>
      </c>
      <c r="P103" t="s">
        <v>41</v>
      </c>
      <c r="Q103" t="s">
        <v>42</v>
      </c>
      <c r="R103" t="s">
        <v>43</v>
      </c>
      <c r="S103" t="s">
        <v>44</v>
      </c>
      <c r="T103" t="s">
        <v>44</v>
      </c>
      <c r="U103" t="s">
        <v>44</v>
      </c>
      <c r="V103" t="s">
        <v>106</v>
      </c>
      <c r="W103" t="s">
        <v>281</v>
      </c>
      <c r="X103" t="s">
        <v>282</v>
      </c>
      <c r="Z103" s="2">
        <v>1000</v>
      </c>
      <c r="AA103" t="s">
        <v>44</v>
      </c>
      <c r="AB103">
        <v>0</v>
      </c>
      <c r="AD103">
        <v>2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hidden="1" spans="1:35">
      <c r="A104" t="s">
        <v>287</v>
      </c>
      <c r="B104" t="s">
        <v>288</v>
      </c>
      <c r="D104" t="s">
        <v>37</v>
      </c>
      <c r="F104">
        <v>1</v>
      </c>
      <c r="G104">
        <v>1</v>
      </c>
      <c r="K104">
        <v>1</v>
      </c>
      <c r="L104" t="s">
        <v>53</v>
      </c>
      <c r="M104">
        <v>5</v>
      </c>
      <c r="N104" t="s">
        <v>113</v>
      </c>
      <c r="O104">
        <v>5</v>
      </c>
      <c r="P104" t="s">
        <v>41</v>
      </c>
      <c r="Q104" t="s">
        <v>42</v>
      </c>
      <c r="R104" t="s">
        <v>43</v>
      </c>
      <c r="S104" t="s">
        <v>44</v>
      </c>
      <c r="T104" t="s">
        <v>44</v>
      </c>
      <c r="U104" t="s">
        <v>44</v>
      </c>
      <c r="V104" t="s">
        <v>106</v>
      </c>
      <c r="W104" t="s">
        <v>281</v>
      </c>
      <c r="X104" t="s">
        <v>282</v>
      </c>
      <c r="Z104" s="2">
        <v>1000</v>
      </c>
      <c r="AA104" t="s">
        <v>44</v>
      </c>
      <c r="AB104">
        <v>0</v>
      </c>
      <c r="AD104">
        <v>2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hidden="1" spans="1:35">
      <c r="A105" t="s">
        <v>289</v>
      </c>
      <c r="B105" t="s">
        <v>290</v>
      </c>
      <c r="D105" t="s">
        <v>37</v>
      </c>
      <c r="F105">
        <v>1</v>
      </c>
      <c r="G105">
        <v>1</v>
      </c>
      <c r="K105">
        <v>1</v>
      </c>
      <c r="L105" t="s">
        <v>53</v>
      </c>
      <c r="M105">
        <v>24</v>
      </c>
      <c r="N105" t="s">
        <v>291</v>
      </c>
      <c r="O105" s="2">
        <v>2400</v>
      </c>
      <c r="P105" t="s">
        <v>41</v>
      </c>
      <c r="Q105" t="s">
        <v>42</v>
      </c>
      <c r="R105" t="s">
        <v>43</v>
      </c>
      <c r="S105" t="s">
        <v>44</v>
      </c>
      <c r="T105" t="s">
        <v>44</v>
      </c>
      <c r="U105" t="s">
        <v>44</v>
      </c>
      <c r="V105" t="s">
        <v>45</v>
      </c>
      <c r="W105" t="s">
        <v>46</v>
      </c>
      <c r="X105" t="s">
        <v>162</v>
      </c>
      <c r="Z105">
        <v>250</v>
      </c>
      <c r="AA105" t="s">
        <v>44</v>
      </c>
      <c r="AB105">
        <v>0</v>
      </c>
      <c r="AD105">
        <v>2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hidden="1" spans="1:35">
      <c r="A106" t="s">
        <v>292</v>
      </c>
      <c r="B106" t="s">
        <v>293</v>
      </c>
      <c r="D106" t="s">
        <v>37</v>
      </c>
      <c r="F106">
        <v>1</v>
      </c>
      <c r="G106">
        <v>1</v>
      </c>
      <c r="K106">
        <v>1</v>
      </c>
      <c r="L106" t="s">
        <v>53</v>
      </c>
      <c r="M106">
        <v>5</v>
      </c>
      <c r="N106" t="s">
        <v>113</v>
      </c>
      <c r="O106">
        <v>15</v>
      </c>
      <c r="P106" t="s">
        <v>41</v>
      </c>
      <c r="Q106" t="s">
        <v>42</v>
      </c>
      <c r="R106" t="s">
        <v>43</v>
      </c>
      <c r="S106" t="s">
        <v>44</v>
      </c>
      <c r="T106" t="s">
        <v>44</v>
      </c>
      <c r="U106" t="s">
        <v>44</v>
      </c>
      <c r="V106" t="s">
        <v>45</v>
      </c>
      <c r="W106" t="s">
        <v>55</v>
      </c>
      <c r="X106" t="s">
        <v>162</v>
      </c>
      <c r="Z106" s="2">
        <v>1000</v>
      </c>
      <c r="AA106" t="s">
        <v>44</v>
      </c>
      <c r="AB106">
        <v>0</v>
      </c>
      <c r="AD106">
        <v>2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hidden="1" spans="1:35">
      <c r="A107" t="s">
        <v>294</v>
      </c>
      <c r="B107" t="s">
        <v>295</v>
      </c>
      <c r="D107" t="s">
        <v>37</v>
      </c>
      <c r="F107">
        <v>1</v>
      </c>
      <c r="G107">
        <v>1</v>
      </c>
      <c r="H107" t="s">
        <v>296</v>
      </c>
      <c r="K107">
        <v>1</v>
      </c>
      <c r="L107" t="s">
        <v>296</v>
      </c>
      <c r="M107" t="s">
        <v>136</v>
      </c>
      <c r="N107" t="s">
        <v>136</v>
      </c>
      <c r="O107">
        <v>100</v>
      </c>
      <c r="P107" t="s">
        <v>41</v>
      </c>
      <c r="Q107" t="s">
        <v>42</v>
      </c>
      <c r="R107" t="s">
        <v>43</v>
      </c>
      <c r="S107" t="s">
        <v>44</v>
      </c>
      <c r="T107" t="s">
        <v>44</v>
      </c>
      <c r="U107" t="s">
        <v>44</v>
      </c>
      <c r="V107" t="s">
        <v>45</v>
      </c>
      <c r="W107" t="s">
        <v>55</v>
      </c>
      <c r="X107" t="s">
        <v>297</v>
      </c>
      <c r="Z107">
        <v>20</v>
      </c>
      <c r="AA107" t="s">
        <v>44</v>
      </c>
      <c r="AB107">
        <v>0</v>
      </c>
      <c r="AD107">
        <v>2</v>
      </c>
      <c r="AE107">
        <v>0</v>
      </c>
      <c r="AF107">
        <v>0</v>
      </c>
      <c r="AG107">
        <v>0</v>
      </c>
      <c r="AH107">
        <v>0</v>
      </c>
      <c r="AI107">
        <v>20</v>
      </c>
    </row>
    <row r="108" hidden="1" spans="1:35">
      <c r="A108" t="s">
        <v>298</v>
      </c>
      <c r="B108" t="s">
        <v>299</v>
      </c>
      <c r="D108" t="s">
        <v>37</v>
      </c>
      <c r="F108">
        <v>1</v>
      </c>
      <c r="G108">
        <v>1</v>
      </c>
      <c r="H108" t="s">
        <v>300</v>
      </c>
      <c r="K108">
        <v>1</v>
      </c>
      <c r="L108" t="s">
        <v>300</v>
      </c>
      <c r="M108" t="s">
        <v>136</v>
      </c>
      <c r="N108" t="s">
        <v>136</v>
      </c>
      <c r="O108">
        <v>1</v>
      </c>
      <c r="P108" t="s">
        <v>41</v>
      </c>
      <c r="Q108" t="s">
        <v>42</v>
      </c>
      <c r="R108" t="s">
        <v>43</v>
      </c>
      <c r="S108" t="s">
        <v>44</v>
      </c>
      <c r="T108" t="s">
        <v>44</v>
      </c>
      <c r="U108" t="s">
        <v>44</v>
      </c>
      <c r="Z108" s="2">
        <v>2050</v>
      </c>
      <c r="AA108" t="s">
        <v>44</v>
      </c>
      <c r="AB108">
        <v>0</v>
      </c>
      <c r="AD108">
        <v>2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hidden="1" spans="1:35">
      <c r="A109" t="s">
        <v>301</v>
      </c>
      <c r="B109" t="s">
        <v>302</v>
      </c>
      <c r="D109" t="s">
        <v>37</v>
      </c>
      <c r="E109" t="s">
        <v>135</v>
      </c>
      <c r="F109">
        <v>1</v>
      </c>
      <c r="G109">
        <v>1</v>
      </c>
      <c r="H109" t="s">
        <v>135</v>
      </c>
      <c r="K109">
        <v>1</v>
      </c>
      <c r="L109" t="s">
        <v>135</v>
      </c>
      <c r="M109" t="s">
        <v>136</v>
      </c>
      <c r="N109" t="s">
        <v>136</v>
      </c>
      <c r="O109">
        <v>100</v>
      </c>
      <c r="P109" t="s">
        <v>41</v>
      </c>
      <c r="Q109" t="s">
        <v>42</v>
      </c>
      <c r="R109" t="s">
        <v>44</v>
      </c>
      <c r="S109" t="s">
        <v>44</v>
      </c>
      <c r="T109" t="s">
        <v>44</v>
      </c>
      <c r="U109" t="s">
        <v>44</v>
      </c>
      <c r="Z109" s="2">
        <v>1000</v>
      </c>
      <c r="AA109" t="s">
        <v>44</v>
      </c>
      <c r="AB109">
        <v>796.14</v>
      </c>
      <c r="AD109">
        <v>2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hidden="1" spans="1:35">
      <c r="A110" t="s">
        <v>303</v>
      </c>
      <c r="B110" t="s">
        <v>304</v>
      </c>
      <c r="D110" t="s">
        <v>37</v>
      </c>
      <c r="F110">
        <v>1</v>
      </c>
      <c r="G110">
        <v>1</v>
      </c>
      <c r="H110" t="s">
        <v>135</v>
      </c>
      <c r="K110">
        <v>1</v>
      </c>
      <c r="L110" t="s">
        <v>135</v>
      </c>
      <c r="M110" t="s">
        <v>136</v>
      </c>
      <c r="N110" t="s">
        <v>136</v>
      </c>
      <c r="O110">
        <v>1</v>
      </c>
      <c r="P110" t="s">
        <v>41</v>
      </c>
      <c r="Q110" t="s">
        <v>42</v>
      </c>
      <c r="R110" t="s">
        <v>44</v>
      </c>
      <c r="S110" t="s">
        <v>44</v>
      </c>
      <c r="T110" t="s">
        <v>44</v>
      </c>
      <c r="U110" t="s">
        <v>44</v>
      </c>
      <c r="V110" t="s">
        <v>162</v>
      </c>
      <c r="W110" t="s">
        <v>162</v>
      </c>
      <c r="Z110">
        <v>0</v>
      </c>
      <c r="AA110" t="s">
        <v>44</v>
      </c>
      <c r="AB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hidden="1" spans="1:35">
      <c r="A111" t="s">
        <v>305</v>
      </c>
      <c r="B111" t="s">
        <v>306</v>
      </c>
      <c r="D111" t="s">
        <v>37</v>
      </c>
      <c r="F111">
        <v>1</v>
      </c>
      <c r="G111">
        <v>1</v>
      </c>
      <c r="H111" t="s">
        <v>135</v>
      </c>
      <c r="K111">
        <v>1</v>
      </c>
      <c r="L111" t="s">
        <v>135</v>
      </c>
      <c r="M111" t="s">
        <v>136</v>
      </c>
      <c r="N111" t="s">
        <v>136</v>
      </c>
      <c r="O111">
        <v>1</v>
      </c>
      <c r="P111" t="s">
        <v>41</v>
      </c>
      <c r="Q111" t="s">
        <v>42</v>
      </c>
      <c r="R111" t="s">
        <v>44</v>
      </c>
      <c r="S111" t="s">
        <v>44</v>
      </c>
      <c r="T111" t="s">
        <v>44</v>
      </c>
      <c r="U111" t="s">
        <v>44</v>
      </c>
      <c r="V111" t="s">
        <v>162</v>
      </c>
      <c r="W111" t="s">
        <v>162</v>
      </c>
      <c r="Z111" s="2">
        <v>1000</v>
      </c>
      <c r="AA111" t="s">
        <v>44</v>
      </c>
      <c r="AB111">
        <v>0</v>
      </c>
      <c r="AD111">
        <v>2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hidden="1" spans="1:35">
      <c r="A112" t="s">
        <v>307</v>
      </c>
      <c r="B112" t="s">
        <v>308</v>
      </c>
      <c r="D112" t="s">
        <v>37</v>
      </c>
      <c r="E112" t="s">
        <v>135</v>
      </c>
      <c r="F112">
        <v>1</v>
      </c>
      <c r="G112">
        <v>1</v>
      </c>
      <c r="H112" t="s">
        <v>135</v>
      </c>
      <c r="K112">
        <v>1</v>
      </c>
      <c r="L112" t="s">
        <v>135</v>
      </c>
      <c r="M112" t="s">
        <v>136</v>
      </c>
      <c r="N112" t="s">
        <v>136</v>
      </c>
      <c r="O112">
        <v>1</v>
      </c>
      <c r="P112" t="s">
        <v>41</v>
      </c>
      <c r="Q112" t="s">
        <v>42</v>
      </c>
      <c r="R112" t="s">
        <v>44</v>
      </c>
      <c r="S112" t="s">
        <v>44</v>
      </c>
      <c r="T112" t="s">
        <v>44</v>
      </c>
      <c r="U112" t="s">
        <v>44</v>
      </c>
      <c r="Z112" s="2">
        <v>1000</v>
      </c>
      <c r="AA112" t="s">
        <v>44</v>
      </c>
      <c r="AB112">
        <v>0</v>
      </c>
      <c r="AD112">
        <v>2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hidden="1" spans="1:35">
      <c r="A113" t="s">
        <v>309</v>
      </c>
      <c r="B113" t="s">
        <v>310</v>
      </c>
      <c r="D113" t="s">
        <v>37</v>
      </c>
      <c r="E113" t="s">
        <v>135</v>
      </c>
      <c r="F113">
        <v>1</v>
      </c>
      <c r="G113">
        <v>1</v>
      </c>
      <c r="H113" t="s">
        <v>135</v>
      </c>
      <c r="K113">
        <v>1</v>
      </c>
      <c r="L113" t="s">
        <v>135</v>
      </c>
      <c r="M113" t="s">
        <v>136</v>
      </c>
      <c r="N113" t="s">
        <v>136</v>
      </c>
      <c r="O113">
        <v>1</v>
      </c>
      <c r="P113" t="s">
        <v>41</v>
      </c>
      <c r="Q113" t="s">
        <v>42</v>
      </c>
      <c r="R113" t="s">
        <v>44</v>
      </c>
      <c r="S113" t="s">
        <v>44</v>
      </c>
      <c r="T113" t="s">
        <v>44</v>
      </c>
      <c r="U113" t="s">
        <v>44</v>
      </c>
      <c r="Z113" s="2">
        <v>1000</v>
      </c>
      <c r="AA113" t="s">
        <v>44</v>
      </c>
      <c r="AB113">
        <v>0</v>
      </c>
      <c r="AD113">
        <v>2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>
      <c r="A114" s="1" t="s">
        <v>311</v>
      </c>
      <c r="B114" s="1" t="s">
        <v>312</v>
      </c>
      <c r="D114" s="1" t="s">
        <v>37</v>
      </c>
      <c r="F114" s="1">
        <v>1</v>
      </c>
      <c r="G114" s="1">
        <v>1</v>
      </c>
      <c r="H114" s="1" t="s">
        <v>38</v>
      </c>
      <c r="I114">
        <f>IF(J114="Renceng",(M114/10),(M114/15))</f>
        <v>12</v>
      </c>
      <c r="J114" t="s">
        <v>149</v>
      </c>
      <c r="K114" s="1">
        <f>M114/I114</f>
        <v>10</v>
      </c>
      <c r="L114" s="1" t="s">
        <v>120</v>
      </c>
      <c r="M114" s="1">
        <v>120</v>
      </c>
      <c r="N114" s="1" t="s">
        <v>229</v>
      </c>
      <c r="O114" s="3">
        <v>12000</v>
      </c>
      <c r="P114" s="1" t="s">
        <v>41</v>
      </c>
      <c r="Q114" s="1" t="s">
        <v>42</v>
      </c>
      <c r="R114" s="1" t="s">
        <v>43</v>
      </c>
      <c r="S114" s="1" t="s">
        <v>44</v>
      </c>
      <c r="T114" s="1" t="s">
        <v>44</v>
      </c>
      <c r="U114" s="1" t="s">
        <v>44</v>
      </c>
      <c r="V114" t="s">
        <v>45</v>
      </c>
      <c r="W114" t="s">
        <v>230</v>
      </c>
      <c r="X114" t="s">
        <v>194</v>
      </c>
      <c r="Z114" s="1">
        <v>25</v>
      </c>
      <c r="AA114" s="1" t="s">
        <v>44</v>
      </c>
      <c r="AB114" s="1">
        <v>0</v>
      </c>
      <c r="AD114" s="1">
        <v>2</v>
      </c>
      <c r="AE114" s="1">
        <v>35.6</v>
      </c>
      <c r="AF114" s="1">
        <v>24.5</v>
      </c>
      <c r="AG114" s="1">
        <v>24</v>
      </c>
      <c r="AH114" s="1">
        <v>0.02</v>
      </c>
      <c r="AI114" s="1">
        <v>5.37</v>
      </c>
    </row>
    <row r="115" hidden="1" spans="1:35">
      <c r="A115" t="s">
        <v>313</v>
      </c>
      <c r="B115" t="s">
        <v>314</v>
      </c>
      <c r="D115" t="s">
        <v>37</v>
      </c>
      <c r="F115">
        <v>1</v>
      </c>
      <c r="G115">
        <v>1</v>
      </c>
      <c r="K115">
        <v>1</v>
      </c>
      <c r="L115" t="s">
        <v>315</v>
      </c>
      <c r="M115">
        <v>1</v>
      </c>
      <c r="N115" t="s">
        <v>316</v>
      </c>
      <c r="O115">
        <v>100</v>
      </c>
      <c r="P115" t="s">
        <v>41</v>
      </c>
      <c r="Q115" t="s">
        <v>42</v>
      </c>
      <c r="R115" t="s">
        <v>43</v>
      </c>
      <c r="S115" t="s">
        <v>44</v>
      </c>
      <c r="T115" t="s">
        <v>44</v>
      </c>
      <c r="U115" t="s">
        <v>44</v>
      </c>
      <c r="V115" t="s">
        <v>45</v>
      </c>
      <c r="W115" t="s">
        <v>46</v>
      </c>
      <c r="X115" t="s">
        <v>317</v>
      </c>
      <c r="Z115" s="2">
        <v>10000</v>
      </c>
      <c r="AA115" t="s">
        <v>44</v>
      </c>
      <c r="AB115">
        <v>0</v>
      </c>
      <c r="AD115">
        <v>2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>
      <c r="A116" t="s">
        <v>318</v>
      </c>
      <c r="B116" t="s">
        <v>319</v>
      </c>
      <c r="D116" t="s">
        <v>37</v>
      </c>
      <c r="F116">
        <v>1</v>
      </c>
      <c r="G116">
        <v>1</v>
      </c>
      <c r="H116" t="s">
        <v>38</v>
      </c>
      <c r="K116">
        <v>10</v>
      </c>
      <c r="L116" t="s">
        <v>315</v>
      </c>
      <c r="M116">
        <v>10</v>
      </c>
      <c r="N116" t="s">
        <v>320</v>
      </c>
      <c r="O116" s="2">
        <v>1000</v>
      </c>
      <c r="P116" t="s">
        <v>41</v>
      </c>
      <c r="Q116" t="s">
        <v>42</v>
      </c>
      <c r="R116" t="s">
        <v>43</v>
      </c>
      <c r="S116" t="s">
        <v>44</v>
      </c>
      <c r="T116" t="s">
        <v>44</v>
      </c>
      <c r="U116" t="s">
        <v>44</v>
      </c>
      <c r="V116" t="s">
        <v>45</v>
      </c>
      <c r="W116" t="s">
        <v>46</v>
      </c>
      <c r="X116" t="s">
        <v>317</v>
      </c>
      <c r="Z116" s="2">
        <v>1000</v>
      </c>
      <c r="AA116" t="s">
        <v>44</v>
      </c>
      <c r="AB116" s="2">
        <v>12146</v>
      </c>
      <c r="AD116">
        <v>2</v>
      </c>
      <c r="AE116">
        <v>45.5</v>
      </c>
      <c r="AF116">
        <v>26.1</v>
      </c>
      <c r="AG116">
        <v>24.9</v>
      </c>
      <c r="AH116">
        <v>0.03</v>
      </c>
      <c r="AI116">
        <v>10.55</v>
      </c>
    </row>
    <row r="117" hidden="1" spans="1:35">
      <c r="A117" t="s">
        <v>321</v>
      </c>
      <c r="B117" t="s">
        <v>322</v>
      </c>
      <c r="D117" t="s">
        <v>37</v>
      </c>
      <c r="F117">
        <v>1</v>
      </c>
      <c r="G117">
        <v>1</v>
      </c>
      <c r="K117">
        <v>1</v>
      </c>
      <c r="L117" t="s">
        <v>315</v>
      </c>
      <c r="M117">
        <v>1</v>
      </c>
      <c r="N117" t="s">
        <v>316</v>
      </c>
      <c r="O117">
        <v>100</v>
      </c>
      <c r="P117" t="s">
        <v>41</v>
      </c>
      <c r="Q117" t="s">
        <v>42</v>
      </c>
      <c r="R117" t="s">
        <v>43</v>
      </c>
      <c r="S117" t="s">
        <v>44</v>
      </c>
      <c r="T117" t="s">
        <v>44</v>
      </c>
      <c r="U117" t="s">
        <v>44</v>
      </c>
      <c r="V117" t="s">
        <v>45</v>
      </c>
      <c r="W117" t="s">
        <v>46</v>
      </c>
      <c r="X117" t="s">
        <v>317</v>
      </c>
      <c r="Z117" s="2">
        <v>5000</v>
      </c>
      <c r="AA117" t="s">
        <v>44</v>
      </c>
      <c r="AB117">
        <v>0</v>
      </c>
      <c r="AD117">
        <v>2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>
      <c r="A118" t="s">
        <v>323</v>
      </c>
      <c r="B118" t="s">
        <v>324</v>
      </c>
      <c r="D118" t="s">
        <v>37</v>
      </c>
      <c r="F118">
        <v>1</v>
      </c>
      <c r="G118">
        <v>1</v>
      </c>
      <c r="H118" t="s">
        <v>38</v>
      </c>
      <c r="K118">
        <v>5</v>
      </c>
      <c r="L118" t="s">
        <v>315</v>
      </c>
      <c r="M118">
        <v>5</v>
      </c>
      <c r="N118" t="s">
        <v>325</v>
      </c>
      <c r="O118">
        <v>500</v>
      </c>
      <c r="P118" t="s">
        <v>41</v>
      </c>
      <c r="Q118" t="s">
        <v>42</v>
      </c>
      <c r="R118" t="s">
        <v>43</v>
      </c>
      <c r="S118" t="s">
        <v>44</v>
      </c>
      <c r="T118" t="s">
        <v>44</v>
      </c>
      <c r="U118" t="s">
        <v>44</v>
      </c>
      <c r="V118" t="s">
        <v>45</v>
      </c>
      <c r="W118" t="s">
        <v>46</v>
      </c>
      <c r="X118" t="s">
        <v>317</v>
      </c>
      <c r="Z118" s="2">
        <v>1000</v>
      </c>
      <c r="AA118" t="s">
        <v>44</v>
      </c>
      <c r="AB118" s="2">
        <v>9763</v>
      </c>
      <c r="AD118">
        <v>2</v>
      </c>
      <c r="AE118">
        <v>26.2</v>
      </c>
      <c r="AF118">
        <v>26.2</v>
      </c>
      <c r="AG118">
        <v>24.7</v>
      </c>
      <c r="AH118">
        <v>0.02</v>
      </c>
      <c r="AI118">
        <v>5.41</v>
      </c>
    </row>
    <row r="119" spans="1:35">
      <c r="A119" t="s">
        <v>326</v>
      </c>
      <c r="B119" t="s">
        <v>327</v>
      </c>
      <c r="D119" t="s">
        <v>37</v>
      </c>
      <c r="F119">
        <v>1</v>
      </c>
      <c r="G119">
        <v>1</v>
      </c>
      <c r="H119" t="s">
        <v>38</v>
      </c>
      <c r="K119">
        <v>12</v>
      </c>
      <c r="L119" t="s">
        <v>58</v>
      </c>
      <c r="M119">
        <v>12</v>
      </c>
      <c r="N119" t="s">
        <v>61</v>
      </c>
      <c r="O119" s="2">
        <v>1200</v>
      </c>
      <c r="P119" t="s">
        <v>41</v>
      </c>
      <c r="Q119" t="s">
        <v>42</v>
      </c>
      <c r="R119" t="s">
        <v>43</v>
      </c>
      <c r="S119" t="s">
        <v>44</v>
      </c>
      <c r="T119" t="s">
        <v>44</v>
      </c>
      <c r="U119" t="s">
        <v>44</v>
      </c>
      <c r="V119" t="s">
        <v>45</v>
      </c>
      <c r="W119" t="s">
        <v>46</v>
      </c>
      <c r="X119" t="s">
        <v>194</v>
      </c>
      <c r="Z119">
        <v>200</v>
      </c>
      <c r="AA119" t="s">
        <v>44</v>
      </c>
      <c r="AB119">
        <v>51</v>
      </c>
      <c r="AD119">
        <v>2</v>
      </c>
      <c r="AE119">
        <v>34.7</v>
      </c>
      <c r="AF119">
        <v>26.5</v>
      </c>
      <c r="AG119">
        <v>17.5</v>
      </c>
      <c r="AH119">
        <v>0.02</v>
      </c>
      <c r="AI119">
        <v>3.99</v>
      </c>
    </row>
    <row r="120" hidden="1" spans="1:35">
      <c r="A120" s="1" t="s">
        <v>328</v>
      </c>
      <c r="B120" s="1" t="s">
        <v>329</v>
      </c>
      <c r="D120" s="1" t="s">
        <v>37</v>
      </c>
      <c r="F120" s="1">
        <v>1</v>
      </c>
      <c r="G120" s="1">
        <v>1</v>
      </c>
      <c r="H120" s="1"/>
      <c r="I120" s="1"/>
      <c r="J120" s="1"/>
      <c r="K120" s="1">
        <v>1</v>
      </c>
      <c r="L120" s="1" t="s">
        <v>120</v>
      </c>
      <c r="M120" s="1">
        <v>100</v>
      </c>
      <c r="N120" s="1" t="s">
        <v>202</v>
      </c>
      <c r="O120" s="3">
        <v>10000</v>
      </c>
      <c r="P120" s="1" t="s">
        <v>41</v>
      </c>
      <c r="Q120" s="1" t="s">
        <v>42</v>
      </c>
      <c r="R120" s="1" t="s">
        <v>43</v>
      </c>
      <c r="S120" s="1" t="s">
        <v>44</v>
      </c>
      <c r="T120" s="1" t="s">
        <v>44</v>
      </c>
      <c r="U120" s="1" t="s">
        <v>44</v>
      </c>
      <c r="V120" s="1" t="s">
        <v>45</v>
      </c>
      <c r="W120" s="1" t="s">
        <v>46</v>
      </c>
      <c r="X120" s="1" t="s">
        <v>194</v>
      </c>
      <c r="Z120" s="1">
        <v>15</v>
      </c>
      <c r="AA120" s="1" t="s">
        <v>44</v>
      </c>
      <c r="AB120" s="1">
        <v>0</v>
      </c>
      <c r="AD120" s="1">
        <v>2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</row>
    <row r="121" spans="1:35">
      <c r="A121" s="1" t="s">
        <v>330</v>
      </c>
      <c r="B121" s="1" t="s">
        <v>331</v>
      </c>
      <c r="D121" s="1" t="s">
        <v>37</v>
      </c>
      <c r="F121" s="1">
        <v>1</v>
      </c>
      <c r="G121" s="1">
        <v>1</v>
      </c>
      <c r="H121" s="1" t="s">
        <v>38</v>
      </c>
      <c r="I121" s="1">
        <f>IF(J121="Renceng",(M121/10),(M121/15))</f>
        <v>10</v>
      </c>
      <c r="J121" s="1" t="s">
        <v>149</v>
      </c>
      <c r="K121" s="1">
        <f>M121/I121</f>
        <v>10</v>
      </c>
      <c r="L121" s="1" t="s">
        <v>120</v>
      </c>
      <c r="M121" s="1">
        <v>100</v>
      </c>
      <c r="N121" s="1" t="s">
        <v>202</v>
      </c>
      <c r="O121" s="3">
        <v>10000</v>
      </c>
      <c r="P121" s="1" t="s">
        <v>41</v>
      </c>
      <c r="Q121" s="1" t="s">
        <v>42</v>
      </c>
      <c r="R121" s="1" t="s">
        <v>43</v>
      </c>
      <c r="S121" s="1" t="s">
        <v>44</v>
      </c>
      <c r="T121" s="1" t="s">
        <v>44</v>
      </c>
      <c r="U121" s="1" t="s">
        <v>44</v>
      </c>
      <c r="V121" s="1" t="s">
        <v>45</v>
      </c>
      <c r="W121" s="1" t="s">
        <v>46</v>
      </c>
      <c r="X121" s="1" t="s">
        <v>194</v>
      </c>
      <c r="Z121" s="1">
        <v>30</v>
      </c>
      <c r="AA121" s="1" t="s">
        <v>44</v>
      </c>
      <c r="AB121" s="3">
        <v>41436</v>
      </c>
      <c r="AD121" s="1">
        <v>2</v>
      </c>
      <c r="AE121" s="1">
        <v>39.5</v>
      </c>
      <c r="AF121" s="1">
        <v>28.1</v>
      </c>
      <c r="AG121" s="1">
        <v>21.8</v>
      </c>
      <c r="AH121" s="1">
        <v>0.02</v>
      </c>
      <c r="AI121" s="1">
        <v>3.45</v>
      </c>
    </row>
    <row r="122" hidden="1" spans="1:35">
      <c r="A122" t="s">
        <v>332</v>
      </c>
      <c r="B122" t="s">
        <v>333</v>
      </c>
      <c r="D122" t="s">
        <v>37</v>
      </c>
      <c r="F122">
        <v>1</v>
      </c>
      <c r="G122">
        <v>1</v>
      </c>
      <c r="K122">
        <v>1</v>
      </c>
      <c r="L122" t="s">
        <v>334</v>
      </c>
      <c r="M122" t="s">
        <v>335</v>
      </c>
      <c r="N122" t="s">
        <v>335</v>
      </c>
      <c r="O122" s="2">
        <v>1200</v>
      </c>
      <c r="P122" t="s">
        <v>41</v>
      </c>
      <c r="Q122" t="s">
        <v>42</v>
      </c>
      <c r="R122" t="s">
        <v>43</v>
      </c>
      <c r="S122" t="s">
        <v>44</v>
      </c>
      <c r="T122" t="s">
        <v>44</v>
      </c>
      <c r="U122" t="s">
        <v>44</v>
      </c>
      <c r="V122" t="s">
        <v>45</v>
      </c>
      <c r="W122" t="s">
        <v>46</v>
      </c>
      <c r="X122" t="s">
        <v>194</v>
      </c>
      <c r="Z122">
        <v>150</v>
      </c>
      <c r="AA122" t="s">
        <v>44</v>
      </c>
      <c r="AB122">
        <v>0</v>
      </c>
      <c r="AD122">
        <v>2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hidden="1" spans="1:35">
      <c r="A123" t="s">
        <v>336</v>
      </c>
      <c r="B123" t="s">
        <v>337</v>
      </c>
      <c r="D123" t="s">
        <v>37</v>
      </c>
      <c r="F123">
        <v>1</v>
      </c>
      <c r="G123">
        <v>1</v>
      </c>
      <c r="K123">
        <v>1</v>
      </c>
      <c r="L123" t="s">
        <v>334</v>
      </c>
      <c r="M123" t="s">
        <v>335</v>
      </c>
      <c r="N123" t="s">
        <v>335</v>
      </c>
      <c r="O123" s="2">
        <v>1200</v>
      </c>
      <c r="P123" t="s">
        <v>41</v>
      </c>
      <c r="Q123" t="s">
        <v>42</v>
      </c>
      <c r="R123" t="s">
        <v>43</v>
      </c>
      <c r="S123" t="s">
        <v>44</v>
      </c>
      <c r="T123" t="s">
        <v>44</v>
      </c>
      <c r="U123" t="s">
        <v>44</v>
      </c>
      <c r="V123" t="s">
        <v>45</v>
      </c>
      <c r="W123" t="s">
        <v>46</v>
      </c>
      <c r="X123" t="s">
        <v>194</v>
      </c>
      <c r="Z123">
        <v>150</v>
      </c>
      <c r="AA123" t="s">
        <v>44</v>
      </c>
      <c r="AB123">
        <v>0</v>
      </c>
      <c r="AD123">
        <v>2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hidden="1" spans="1:35">
      <c r="A124" t="s">
        <v>338</v>
      </c>
      <c r="B124" t="s">
        <v>339</v>
      </c>
      <c r="D124" t="s">
        <v>37</v>
      </c>
      <c r="F124">
        <v>1</v>
      </c>
      <c r="G124">
        <v>1</v>
      </c>
      <c r="K124">
        <v>1</v>
      </c>
      <c r="L124" t="s">
        <v>334</v>
      </c>
      <c r="M124" t="s">
        <v>335</v>
      </c>
      <c r="N124" t="s">
        <v>335</v>
      </c>
      <c r="O124" s="2">
        <v>1200</v>
      </c>
      <c r="P124" t="s">
        <v>41</v>
      </c>
      <c r="Q124" t="s">
        <v>42</v>
      </c>
      <c r="R124" t="s">
        <v>43</v>
      </c>
      <c r="S124" t="s">
        <v>44</v>
      </c>
      <c r="T124" t="s">
        <v>44</v>
      </c>
      <c r="U124" t="s">
        <v>44</v>
      </c>
      <c r="V124" t="s">
        <v>45</v>
      </c>
      <c r="W124" t="s">
        <v>46</v>
      </c>
      <c r="X124" t="s">
        <v>194</v>
      </c>
      <c r="Z124">
        <v>150</v>
      </c>
      <c r="AA124" t="s">
        <v>44</v>
      </c>
      <c r="AB124">
        <v>0</v>
      </c>
      <c r="AD124">
        <v>2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hidden="1" spans="1:35">
      <c r="A125" t="s">
        <v>340</v>
      </c>
      <c r="B125" t="s">
        <v>341</v>
      </c>
      <c r="D125" t="s">
        <v>37</v>
      </c>
      <c r="F125">
        <v>1</v>
      </c>
      <c r="G125">
        <v>1</v>
      </c>
      <c r="K125">
        <v>1</v>
      </c>
      <c r="L125" t="s">
        <v>334</v>
      </c>
      <c r="M125" t="s">
        <v>342</v>
      </c>
      <c r="N125" t="s">
        <v>342</v>
      </c>
      <c r="O125">
        <v>800</v>
      </c>
      <c r="P125" t="s">
        <v>41</v>
      </c>
      <c r="Q125" t="s">
        <v>42</v>
      </c>
      <c r="R125" t="s">
        <v>43</v>
      </c>
      <c r="S125" t="s">
        <v>44</v>
      </c>
      <c r="T125" t="s">
        <v>44</v>
      </c>
      <c r="U125" t="s">
        <v>44</v>
      </c>
      <c r="V125" t="s">
        <v>45</v>
      </c>
      <c r="W125" t="s">
        <v>46</v>
      </c>
      <c r="X125" t="s">
        <v>194</v>
      </c>
      <c r="Z125">
        <v>150</v>
      </c>
      <c r="AA125" t="s">
        <v>44</v>
      </c>
      <c r="AB125">
        <v>0</v>
      </c>
      <c r="AD125">
        <v>2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hidden="1" spans="1:35">
      <c r="A126" t="s">
        <v>343</v>
      </c>
      <c r="B126" t="s">
        <v>344</v>
      </c>
      <c r="D126" t="s">
        <v>37</v>
      </c>
      <c r="F126">
        <v>1</v>
      </c>
      <c r="G126">
        <v>1</v>
      </c>
      <c r="K126">
        <v>1</v>
      </c>
      <c r="L126" t="s">
        <v>334</v>
      </c>
      <c r="M126" t="s">
        <v>335</v>
      </c>
      <c r="N126" t="s">
        <v>335</v>
      </c>
      <c r="O126" s="2">
        <v>1200</v>
      </c>
      <c r="P126" t="s">
        <v>41</v>
      </c>
      <c r="Q126" t="s">
        <v>42</v>
      </c>
      <c r="R126" t="s">
        <v>43</v>
      </c>
      <c r="S126" t="s">
        <v>44</v>
      </c>
      <c r="T126" t="s">
        <v>44</v>
      </c>
      <c r="U126" t="s">
        <v>44</v>
      </c>
      <c r="V126" t="s">
        <v>45</v>
      </c>
      <c r="W126" t="s">
        <v>46</v>
      </c>
      <c r="X126" t="s">
        <v>194</v>
      </c>
      <c r="Z126">
        <v>150</v>
      </c>
      <c r="AA126" t="s">
        <v>44</v>
      </c>
      <c r="AB126">
        <v>0</v>
      </c>
      <c r="AD126">
        <v>2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>
      <c r="A127" s="1" t="s">
        <v>345</v>
      </c>
      <c r="B127" s="1" t="s">
        <v>346</v>
      </c>
      <c r="D127" s="1" t="s">
        <v>37</v>
      </c>
      <c r="F127" s="1">
        <v>1</v>
      </c>
      <c r="G127" s="1">
        <v>1</v>
      </c>
      <c r="H127" s="1" t="s">
        <v>38</v>
      </c>
      <c r="I127">
        <f>IF(J127="Renceng",(M127/10),(M127/15))</f>
        <v>5</v>
      </c>
      <c r="J127" t="s">
        <v>149</v>
      </c>
      <c r="K127" s="1">
        <v>50</v>
      </c>
      <c r="L127" s="1" t="s">
        <v>120</v>
      </c>
      <c r="M127" s="1">
        <v>50</v>
      </c>
      <c r="N127" s="1" t="s">
        <v>205</v>
      </c>
      <c r="O127" s="3">
        <v>5000</v>
      </c>
      <c r="P127" s="1" t="s">
        <v>41</v>
      </c>
      <c r="Q127" s="1" t="s">
        <v>42</v>
      </c>
      <c r="R127" s="1" t="s">
        <v>43</v>
      </c>
      <c r="S127" s="1" t="s">
        <v>44</v>
      </c>
      <c r="T127" s="1" t="s">
        <v>44</v>
      </c>
      <c r="U127" s="1" t="s">
        <v>44</v>
      </c>
      <c r="V127" s="1" t="s">
        <v>45</v>
      </c>
      <c r="W127" s="1" t="s">
        <v>46</v>
      </c>
      <c r="X127" s="1" t="s">
        <v>194</v>
      </c>
      <c r="Z127" s="1">
        <v>60</v>
      </c>
      <c r="AA127" s="1" t="s">
        <v>44</v>
      </c>
      <c r="AB127" s="3">
        <v>57074</v>
      </c>
      <c r="AD127" s="1">
        <v>2</v>
      </c>
      <c r="AE127" s="1">
        <v>32.5</v>
      </c>
      <c r="AF127" s="1">
        <v>21.5</v>
      </c>
      <c r="AG127" s="1">
        <v>17.6</v>
      </c>
      <c r="AH127" s="1">
        <v>0.01</v>
      </c>
      <c r="AI127" s="1">
        <v>2.31</v>
      </c>
    </row>
    <row r="128" hidden="1" spans="1:35">
      <c r="A128" s="1" t="s">
        <v>347</v>
      </c>
      <c r="B128" s="1" t="s">
        <v>348</v>
      </c>
      <c r="D128" s="1" t="s">
        <v>37</v>
      </c>
      <c r="F128" s="1">
        <v>1</v>
      </c>
      <c r="G128" s="1">
        <v>1</v>
      </c>
      <c r="H128" s="1"/>
      <c r="K128" s="1">
        <v>1</v>
      </c>
      <c r="L128" s="1" t="s">
        <v>120</v>
      </c>
      <c r="M128" s="1">
        <v>20</v>
      </c>
      <c r="N128" s="1" t="s">
        <v>223</v>
      </c>
      <c r="O128" s="3">
        <v>2000</v>
      </c>
      <c r="P128" s="1" t="s">
        <v>41</v>
      </c>
      <c r="Q128" s="1" t="s">
        <v>42</v>
      </c>
      <c r="R128" s="1" t="s">
        <v>43</v>
      </c>
      <c r="S128" s="1" t="s">
        <v>44</v>
      </c>
      <c r="T128" s="1" t="s">
        <v>44</v>
      </c>
      <c r="U128" s="1" t="s">
        <v>44</v>
      </c>
      <c r="V128" s="1" t="s">
        <v>45</v>
      </c>
      <c r="W128" s="1" t="s">
        <v>46</v>
      </c>
      <c r="X128" s="1" t="s">
        <v>194</v>
      </c>
      <c r="Z128" s="1">
        <v>165</v>
      </c>
      <c r="AA128" s="1" t="s">
        <v>44</v>
      </c>
      <c r="AB128" s="1">
        <v>0</v>
      </c>
      <c r="AD128" s="1">
        <v>2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</row>
    <row r="129" hidden="1" spans="1:35">
      <c r="A129" s="1" t="s">
        <v>349</v>
      </c>
      <c r="B129" s="1" t="s">
        <v>350</v>
      </c>
      <c r="D129" s="1" t="s">
        <v>37</v>
      </c>
      <c r="F129" s="1">
        <v>1</v>
      </c>
      <c r="G129" s="1">
        <v>1</v>
      </c>
      <c r="K129" s="1">
        <v>1</v>
      </c>
      <c r="L129" s="1" t="s">
        <v>120</v>
      </c>
      <c r="M129" s="1">
        <v>24</v>
      </c>
      <c r="N129" s="1" t="s">
        <v>351</v>
      </c>
      <c r="O129" s="3">
        <v>2400</v>
      </c>
      <c r="P129" s="1" t="s">
        <v>41</v>
      </c>
      <c r="Q129" s="1" t="s">
        <v>42</v>
      </c>
      <c r="R129" s="1" t="s">
        <v>43</v>
      </c>
      <c r="S129" s="1" t="s">
        <v>44</v>
      </c>
      <c r="T129" s="1" t="s">
        <v>44</v>
      </c>
      <c r="U129" s="1" t="s">
        <v>44</v>
      </c>
      <c r="V129" s="1" t="s">
        <v>45</v>
      </c>
      <c r="W129" s="1" t="s">
        <v>46</v>
      </c>
      <c r="X129" s="1" t="s">
        <v>194</v>
      </c>
      <c r="Z129" s="1">
        <v>250</v>
      </c>
      <c r="AA129" s="1" t="s">
        <v>44</v>
      </c>
      <c r="AB129" s="1">
        <v>0</v>
      </c>
      <c r="AD129" s="1">
        <v>2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</row>
    <row r="130" hidden="1" spans="1:35">
      <c r="A130" s="1" t="s">
        <v>352</v>
      </c>
      <c r="B130" s="1" t="s">
        <v>353</v>
      </c>
      <c r="D130" s="1" t="s">
        <v>37</v>
      </c>
      <c r="F130" s="1">
        <v>1</v>
      </c>
      <c r="G130" s="1">
        <v>1</v>
      </c>
      <c r="H130" s="1"/>
      <c r="I130" s="1"/>
      <c r="J130" s="1"/>
      <c r="K130" s="1">
        <v>1</v>
      </c>
      <c r="L130" s="1" t="s">
        <v>120</v>
      </c>
      <c r="M130" s="1">
        <v>12</v>
      </c>
      <c r="N130" s="1" t="s">
        <v>354</v>
      </c>
      <c r="O130" s="3">
        <v>1200</v>
      </c>
      <c r="P130" s="1" t="s">
        <v>41</v>
      </c>
      <c r="Q130" s="1" t="s">
        <v>42</v>
      </c>
      <c r="R130" s="1" t="s">
        <v>43</v>
      </c>
      <c r="S130" s="1" t="s">
        <v>44</v>
      </c>
      <c r="T130" s="1" t="s">
        <v>44</v>
      </c>
      <c r="U130" s="1" t="s">
        <v>44</v>
      </c>
      <c r="V130" s="1" t="s">
        <v>45</v>
      </c>
      <c r="W130" s="1" t="s">
        <v>46</v>
      </c>
      <c r="X130" s="1" t="s">
        <v>194</v>
      </c>
      <c r="Z130" s="1">
        <v>500</v>
      </c>
      <c r="AA130" s="1" t="s">
        <v>44</v>
      </c>
      <c r="AB130" s="1">
        <v>10</v>
      </c>
      <c r="AD130" s="1">
        <v>2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</row>
    <row r="131" hidden="1" spans="1:35">
      <c r="A131" s="1" t="s">
        <v>355</v>
      </c>
      <c r="B131" s="1" t="s">
        <v>356</v>
      </c>
      <c r="D131" s="1" t="s">
        <v>37</v>
      </c>
      <c r="F131" s="1">
        <v>1</v>
      </c>
      <c r="G131" s="1">
        <v>1</v>
      </c>
      <c r="K131" s="1">
        <v>1</v>
      </c>
      <c r="L131" s="1" t="s">
        <v>120</v>
      </c>
      <c r="M131" s="1">
        <v>10</v>
      </c>
      <c r="N131" s="1" t="s">
        <v>357</v>
      </c>
      <c r="O131" s="1">
        <v>10</v>
      </c>
      <c r="P131" s="1" t="s">
        <v>41</v>
      </c>
      <c r="Q131" s="1" t="s">
        <v>42</v>
      </c>
      <c r="R131" s="1" t="s">
        <v>43</v>
      </c>
      <c r="S131" s="1" t="s">
        <v>44</v>
      </c>
      <c r="T131" s="1" t="s">
        <v>44</v>
      </c>
      <c r="U131" s="1" t="s">
        <v>44</v>
      </c>
      <c r="V131" s="1" t="s">
        <v>45</v>
      </c>
      <c r="W131" s="1" t="s">
        <v>55</v>
      </c>
      <c r="X131" s="1" t="s">
        <v>297</v>
      </c>
      <c r="Z131" s="1">
        <v>18</v>
      </c>
      <c r="AA131" s="1" t="s">
        <v>44</v>
      </c>
      <c r="AB131" s="1">
        <v>0</v>
      </c>
      <c r="AD131" s="1">
        <v>2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</row>
    <row r="132" spans="1:35">
      <c r="A132" t="s">
        <v>358</v>
      </c>
      <c r="B132" t="s">
        <v>225</v>
      </c>
      <c r="D132" t="s">
        <v>37</v>
      </c>
      <c r="F132">
        <v>1</v>
      </c>
      <c r="G132">
        <v>1</v>
      </c>
      <c r="H132" t="s">
        <v>38</v>
      </c>
      <c r="K132">
        <v>9</v>
      </c>
      <c r="L132" t="s">
        <v>53</v>
      </c>
      <c r="M132">
        <v>9</v>
      </c>
      <c r="N132" t="s">
        <v>177</v>
      </c>
      <c r="O132">
        <v>900</v>
      </c>
      <c r="P132" t="s">
        <v>41</v>
      </c>
      <c r="Q132" t="s">
        <v>42</v>
      </c>
      <c r="R132" t="s">
        <v>43</v>
      </c>
      <c r="S132" t="s">
        <v>44</v>
      </c>
      <c r="T132" t="s">
        <v>44</v>
      </c>
      <c r="U132" t="s">
        <v>44</v>
      </c>
      <c r="V132" t="s">
        <v>45</v>
      </c>
      <c r="W132" t="s">
        <v>46</v>
      </c>
      <c r="X132" t="s">
        <v>194</v>
      </c>
      <c r="Z132">
        <v>380</v>
      </c>
      <c r="AA132" t="s">
        <v>44</v>
      </c>
      <c r="AB132">
        <v>0</v>
      </c>
      <c r="AD132">
        <v>2</v>
      </c>
      <c r="AE132">
        <v>32.6</v>
      </c>
      <c r="AF132">
        <v>16</v>
      </c>
      <c r="AG132">
        <v>26.1</v>
      </c>
      <c r="AH132">
        <v>0.01</v>
      </c>
      <c r="AI132">
        <v>3.69</v>
      </c>
    </row>
    <row r="133" hidden="1" spans="1:35">
      <c r="A133" s="1" t="s">
        <v>359</v>
      </c>
      <c r="B133" s="1" t="s">
        <v>360</v>
      </c>
      <c r="D133" s="1" t="s">
        <v>37</v>
      </c>
      <c r="F133" s="1">
        <v>1</v>
      </c>
      <c r="G133" s="1">
        <v>1</v>
      </c>
      <c r="H133" s="1"/>
      <c r="I133" s="1"/>
      <c r="J133" s="1"/>
      <c r="K133" s="1">
        <v>1</v>
      </c>
      <c r="L133" s="1" t="s">
        <v>120</v>
      </c>
      <c r="M133" s="1">
        <v>10</v>
      </c>
      <c r="N133" s="1" t="s">
        <v>357</v>
      </c>
      <c r="O133" s="1">
        <v>10</v>
      </c>
      <c r="P133" s="1" t="s">
        <v>41</v>
      </c>
      <c r="Q133" s="1" t="s">
        <v>42</v>
      </c>
      <c r="R133" s="1" t="s">
        <v>43</v>
      </c>
      <c r="S133" s="1" t="s">
        <v>44</v>
      </c>
      <c r="T133" s="1" t="s">
        <v>44</v>
      </c>
      <c r="U133" s="1" t="s">
        <v>44</v>
      </c>
      <c r="V133" s="1" t="s">
        <v>45</v>
      </c>
      <c r="W133" s="1" t="s">
        <v>55</v>
      </c>
      <c r="X133" s="1" t="s">
        <v>297</v>
      </c>
      <c r="Z133" s="1">
        <v>18</v>
      </c>
      <c r="AA133" s="1" t="s">
        <v>44</v>
      </c>
      <c r="AB133" s="1">
        <v>0</v>
      </c>
      <c r="AD133" s="1">
        <v>2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</row>
    <row r="134" spans="1:35">
      <c r="A134" t="s">
        <v>361</v>
      </c>
      <c r="B134" t="s">
        <v>362</v>
      </c>
      <c r="D134" t="s">
        <v>37</v>
      </c>
      <c r="F134">
        <v>1</v>
      </c>
      <c r="G134">
        <v>1</v>
      </c>
      <c r="H134" t="s">
        <v>38</v>
      </c>
      <c r="I134" t="str">
        <f>IF(ISNUMBER(SEARCH("Renceng",J134)),(K134/10)," ")</f>
        <v> </v>
      </c>
      <c r="J134" t="str">
        <f>IF(ISNUMBER(SEARCH("Rtg",B134)),"Renceng"," ")</f>
        <v> </v>
      </c>
      <c r="K134">
        <v>9</v>
      </c>
      <c r="L134" t="s">
        <v>53</v>
      </c>
      <c r="M134">
        <v>9</v>
      </c>
      <c r="N134" t="s">
        <v>177</v>
      </c>
      <c r="O134">
        <v>900</v>
      </c>
      <c r="P134" t="s">
        <v>41</v>
      </c>
      <c r="Q134" t="s">
        <v>42</v>
      </c>
      <c r="R134" t="s">
        <v>43</v>
      </c>
      <c r="S134" t="s">
        <v>44</v>
      </c>
      <c r="T134" t="s">
        <v>44</v>
      </c>
      <c r="U134" t="s">
        <v>44</v>
      </c>
      <c r="V134" t="s">
        <v>45</v>
      </c>
      <c r="W134" t="s">
        <v>46</v>
      </c>
      <c r="X134" t="s">
        <v>194</v>
      </c>
      <c r="Z134">
        <v>380</v>
      </c>
      <c r="AA134" t="s">
        <v>44</v>
      </c>
      <c r="AB134">
        <v>0</v>
      </c>
      <c r="AD134">
        <v>2</v>
      </c>
      <c r="AE134">
        <v>32.6</v>
      </c>
      <c r="AF134">
        <v>16</v>
      </c>
      <c r="AG134">
        <v>26.1</v>
      </c>
      <c r="AH134">
        <v>0.01</v>
      </c>
      <c r="AI134">
        <v>3.69</v>
      </c>
    </row>
    <row r="135" hidden="1" spans="1:35">
      <c r="A135" s="1" t="s">
        <v>363</v>
      </c>
      <c r="B135" s="1" t="s">
        <v>364</v>
      </c>
      <c r="D135" s="1" t="s">
        <v>37</v>
      </c>
      <c r="F135" s="1">
        <v>1</v>
      </c>
      <c r="G135" s="1">
        <v>1</v>
      </c>
      <c r="H135" s="1"/>
      <c r="I135" s="1"/>
      <c r="J135" s="1"/>
      <c r="K135" s="1">
        <v>1</v>
      </c>
      <c r="L135" s="1" t="s">
        <v>120</v>
      </c>
      <c r="M135" s="1">
        <v>10</v>
      </c>
      <c r="N135" s="1" t="s">
        <v>357</v>
      </c>
      <c r="O135" s="1">
        <v>10</v>
      </c>
      <c r="P135" s="1" t="s">
        <v>41</v>
      </c>
      <c r="Q135" s="1" t="s">
        <v>42</v>
      </c>
      <c r="R135" s="1" t="s">
        <v>43</v>
      </c>
      <c r="S135" s="1" t="s">
        <v>44</v>
      </c>
      <c r="T135" s="1" t="s">
        <v>44</v>
      </c>
      <c r="U135" s="1" t="s">
        <v>44</v>
      </c>
      <c r="V135" s="1" t="s">
        <v>45</v>
      </c>
      <c r="W135" s="1" t="s">
        <v>55</v>
      </c>
      <c r="X135" s="1" t="s">
        <v>297</v>
      </c>
      <c r="Z135" s="1">
        <v>18</v>
      </c>
      <c r="AA135" s="1" t="s">
        <v>44</v>
      </c>
      <c r="AB135" s="1">
        <v>0</v>
      </c>
      <c r="AD135" s="1">
        <v>2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</row>
    <row r="136" hidden="1" spans="1:35">
      <c r="A136" s="1" t="s">
        <v>365</v>
      </c>
      <c r="B136" s="1" t="s">
        <v>366</v>
      </c>
      <c r="D136" s="1" t="s">
        <v>37</v>
      </c>
      <c r="F136" s="1">
        <v>1</v>
      </c>
      <c r="G136" s="1">
        <v>1</v>
      </c>
      <c r="K136" s="1">
        <v>1</v>
      </c>
      <c r="L136" s="1" t="s">
        <v>120</v>
      </c>
      <c r="M136" s="1">
        <v>10</v>
      </c>
      <c r="N136" s="1" t="s">
        <v>357</v>
      </c>
      <c r="O136" s="1">
        <v>30</v>
      </c>
      <c r="P136" s="1" t="s">
        <v>41</v>
      </c>
      <c r="Q136" s="1" t="s">
        <v>42</v>
      </c>
      <c r="R136" s="1" t="s">
        <v>43</v>
      </c>
      <c r="S136" s="1" t="s">
        <v>44</v>
      </c>
      <c r="T136" s="1" t="s">
        <v>44</v>
      </c>
      <c r="U136" s="1" t="s">
        <v>44</v>
      </c>
      <c r="V136" s="1" t="s">
        <v>45</v>
      </c>
      <c r="W136" s="1" t="s">
        <v>55</v>
      </c>
      <c r="X136" s="1" t="s">
        <v>297</v>
      </c>
      <c r="Z136" s="1">
        <v>18</v>
      </c>
      <c r="AA136" s="1" t="s">
        <v>44</v>
      </c>
      <c r="AB136" s="1">
        <v>0</v>
      </c>
      <c r="AD136" s="1">
        <v>2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</row>
    <row r="137" hidden="1" spans="1:35">
      <c r="A137" s="1" t="s">
        <v>367</v>
      </c>
      <c r="B137" s="1" t="s">
        <v>368</v>
      </c>
      <c r="D137" s="1" t="s">
        <v>37</v>
      </c>
      <c r="F137" s="1">
        <v>1</v>
      </c>
      <c r="G137" s="1">
        <v>1</v>
      </c>
      <c r="H137" s="1"/>
      <c r="I137" s="1"/>
      <c r="J137" s="1"/>
      <c r="K137" s="1">
        <v>1</v>
      </c>
      <c r="L137" s="1" t="s">
        <v>120</v>
      </c>
      <c r="M137" s="1">
        <v>10</v>
      </c>
      <c r="N137" s="1" t="s">
        <v>357</v>
      </c>
      <c r="O137" s="1">
        <v>30</v>
      </c>
      <c r="P137" s="1" t="s">
        <v>41</v>
      </c>
      <c r="Q137" s="1" t="s">
        <v>42</v>
      </c>
      <c r="R137" s="1" t="s">
        <v>43</v>
      </c>
      <c r="S137" s="1" t="s">
        <v>44</v>
      </c>
      <c r="T137" s="1" t="s">
        <v>44</v>
      </c>
      <c r="U137" s="1" t="s">
        <v>44</v>
      </c>
      <c r="V137" s="1" t="s">
        <v>45</v>
      </c>
      <c r="W137" s="1" t="s">
        <v>55</v>
      </c>
      <c r="X137" s="1" t="s">
        <v>297</v>
      </c>
      <c r="Z137" s="1">
        <v>18</v>
      </c>
      <c r="AA137" s="1" t="s">
        <v>44</v>
      </c>
      <c r="AB137" s="1">
        <v>0</v>
      </c>
      <c r="AD137" s="1">
        <v>2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</row>
    <row r="138" hidden="1" spans="1:35">
      <c r="A138" s="1" t="s">
        <v>369</v>
      </c>
      <c r="B138" s="1" t="s">
        <v>370</v>
      </c>
      <c r="D138" s="1" t="s">
        <v>37</v>
      </c>
      <c r="F138" s="1">
        <v>1</v>
      </c>
      <c r="G138" s="1">
        <v>1</v>
      </c>
      <c r="H138" s="1"/>
      <c r="I138" s="1"/>
      <c r="J138" s="1"/>
      <c r="K138" s="1">
        <v>1</v>
      </c>
      <c r="L138" s="1" t="s">
        <v>120</v>
      </c>
      <c r="M138" s="1">
        <v>10</v>
      </c>
      <c r="N138" s="1" t="s">
        <v>357</v>
      </c>
      <c r="O138" s="1">
        <v>30</v>
      </c>
      <c r="P138" s="1" t="s">
        <v>41</v>
      </c>
      <c r="Q138" s="1" t="s">
        <v>42</v>
      </c>
      <c r="R138" s="1" t="s">
        <v>43</v>
      </c>
      <c r="S138" s="1" t="s">
        <v>44</v>
      </c>
      <c r="T138" s="1" t="s">
        <v>44</v>
      </c>
      <c r="U138" s="1" t="s">
        <v>44</v>
      </c>
      <c r="V138" s="1" t="s">
        <v>45</v>
      </c>
      <c r="W138" s="1" t="s">
        <v>55</v>
      </c>
      <c r="X138" s="1" t="s">
        <v>297</v>
      </c>
      <c r="Z138" s="1">
        <v>18</v>
      </c>
      <c r="AA138" s="1" t="s">
        <v>44</v>
      </c>
      <c r="AB138" s="1">
        <v>0</v>
      </c>
      <c r="AD138" s="1">
        <v>2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</row>
    <row r="139" hidden="1" spans="1:35">
      <c r="A139" s="1" t="s">
        <v>371</v>
      </c>
      <c r="B139" s="1" t="s">
        <v>372</v>
      </c>
      <c r="D139" s="1" t="s">
        <v>37</v>
      </c>
      <c r="F139" s="1">
        <v>1</v>
      </c>
      <c r="G139" s="1">
        <v>1</v>
      </c>
      <c r="H139" s="1"/>
      <c r="I139" s="1"/>
      <c r="J139" s="1"/>
      <c r="K139" s="1">
        <v>1</v>
      </c>
      <c r="L139" s="1" t="s">
        <v>120</v>
      </c>
      <c r="M139" s="1">
        <v>10</v>
      </c>
      <c r="N139" s="1" t="s">
        <v>357</v>
      </c>
      <c r="O139" s="1">
        <v>10</v>
      </c>
      <c r="P139" s="1" t="s">
        <v>41</v>
      </c>
      <c r="Q139" s="1" t="s">
        <v>42</v>
      </c>
      <c r="R139" s="1" t="s">
        <v>43</v>
      </c>
      <c r="S139" s="1" t="s">
        <v>44</v>
      </c>
      <c r="T139" s="1" t="s">
        <v>44</v>
      </c>
      <c r="U139" s="1" t="s">
        <v>44</v>
      </c>
      <c r="V139" s="1" t="s">
        <v>45</v>
      </c>
      <c r="W139" s="1" t="s">
        <v>55</v>
      </c>
      <c r="X139" s="1" t="s">
        <v>297</v>
      </c>
      <c r="Z139" s="1">
        <v>18</v>
      </c>
      <c r="AA139" s="1" t="s">
        <v>44</v>
      </c>
      <c r="AB139" s="1">
        <v>0</v>
      </c>
      <c r="AD139" s="1">
        <v>2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</row>
    <row r="140" hidden="1" spans="1:35">
      <c r="A140" s="1" t="s">
        <v>373</v>
      </c>
      <c r="B140" s="1" t="s">
        <v>374</v>
      </c>
      <c r="D140" s="1" t="s">
        <v>37</v>
      </c>
      <c r="E140" s="1"/>
      <c r="F140" s="1">
        <v>1</v>
      </c>
      <c r="G140" s="1">
        <v>1</v>
      </c>
      <c r="H140" s="1"/>
      <c r="I140" s="1"/>
      <c r="J140" s="1"/>
      <c r="K140" s="1">
        <v>1</v>
      </c>
      <c r="L140" s="1" t="s">
        <v>120</v>
      </c>
      <c r="M140" s="1">
        <v>10</v>
      </c>
      <c r="N140" s="1" t="s">
        <v>357</v>
      </c>
      <c r="O140" s="1">
        <v>10</v>
      </c>
      <c r="P140" s="1" t="s">
        <v>41</v>
      </c>
      <c r="Q140" s="1" t="s">
        <v>42</v>
      </c>
      <c r="R140" s="1" t="s">
        <v>43</v>
      </c>
      <c r="S140" s="1" t="s">
        <v>44</v>
      </c>
      <c r="T140" s="1" t="s">
        <v>44</v>
      </c>
      <c r="U140" s="1" t="s">
        <v>44</v>
      </c>
      <c r="V140" s="1" t="s">
        <v>45</v>
      </c>
      <c r="W140" s="1" t="s">
        <v>55</v>
      </c>
      <c r="X140" s="1" t="s">
        <v>297</v>
      </c>
      <c r="Z140" s="1">
        <v>18</v>
      </c>
      <c r="AA140" s="1" t="s">
        <v>44</v>
      </c>
      <c r="AB140" s="1">
        <v>0</v>
      </c>
      <c r="AD140" s="1">
        <v>2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</row>
    <row r="141" hidden="1" spans="1:35">
      <c r="A141" s="1" t="s">
        <v>375</v>
      </c>
      <c r="B141" s="1" t="s">
        <v>376</v>
      </c>
      <c r="D141" s="1" t="s">
        <v>37</v>
      </c>
      <c r="F141" s="1">
        <v>1</v>
      </c>
      <c r="G141" s="1">
        <v>1</v>
      </c>
      <c r="H141" s="1"/>
      <c r="K141" s="1">
        <v>1</v>
      </c>
      <c r="L141" s="1" t="s">
        <v>120</v>
      </c>
      <c r="M141" s="1">
        <v>10</v>
      </c>
      <c r="N141" s="1" t="s">
        <v>357</v>
      </c>
      <c r="O141" s="1">
        <v>1</v>
      </c>
      <c r="P141" s="1" t="s">
        <v>41</v>
      </c>
      <c r="Q141" s="1" t="s">
        <v>42</v>
      </c>
      <c r="R141" s="1" t="s">
        <v>43</v>
      </c>
      <c r="S141" s="1" t="s">
        <v>44</v>
      </c>
      <c r="T141" s="1" t="s">
        <v>44</v>
      </c>
      <c r="U141" s="1" t="s">
        <v>44</v>
      </c>
      <c r="V141" s="1" t="s">
        <v>45</v>
      </c>
      <c r="W141" s="1" t="s">
        <v>55</v>
      </c>
      <c r="X141" s="1" t="s">
        <v>297</v>
      </c>
      <c r="Z141" s="1">
        <v>18</v>
      </c>
      <c r="AA141" s="1" t="s">
        <v>44</v>
      </c>
      <c r="AB141" s="1">
        <v>0</v>
      </c>
      <c r="AD141" s="1">
        <v>2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</row>
    <row r="142" hidden="1" spans="1:35">
      <c r="A142" s="1" t="s">
        <v>377</v>
      </c>
      <c r="B142" s="1" t="s">
        <v>378</v>
      </c>
      <c r="D142" s="1" t="s">
        <v>37</v>
      </c>
      <c r="F142" s="1">
        <v>1</v>
      </c>
      <c r="G142" s="1">
        <v>1</v>
      </c>
      <c r="H142" s="1"/>
      <c r="I142" s="1"/>
      <c r="J142" s="1"/>
      <c r="K142" s="1">
        <v>1</v>
      </c>
      <c r="L142" s="1" t="s">
        <v>120</v>
      </c>
      <c r="M142" s="1">
        <v>10</v>
      </c>
      <c r="N142" s="1" t="s">
        <v>357</v>
      </c>
      <c r="O142" s="1">
        <v>30</v>
      </c>
      <c r="P142" s="1" t="s">
        <v>41</v>
      </c>
      <c r="Q142" s="1" t="s">
        <v>42</v>
      </c>
      <c r="R142" s="1" t="s">
        <v>43</v>
      </c>
      <c r="S142" s="1" t="s">
        <v>44</v>
      </c>
      <c r="T142" s="1" t="s">
        <v>44</v>
      </c>
      <c r="U142" s="1" t="s">
        <v>44</v>
      </c>
      <c r="V142" s="1" t="s">
        <v>45</v>
      </c>
      <c r="W142" s="1" t="s">
        <v>55</v>
      </c>
      <c r="X142" s="1" t="s">
        <v>297</v>
      </c>
      <c r="Z142" s="1">
        <v>18</v>
      </c>
      <c r="AA142" s="1" t="s">
        <v>44</v>
      </c>
      <c r="AB142" s="1">
        <v>0</v>
      </c>
      <c r="AD142" s="1">
        <v>2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</row>
    <row r="143" hidden="1" spans="1:35">
      <c r="A143" s="1" t="s">
        <v>379</v>
      </c>
      <c r="B143" s="1" t="s">
        <v>380</v>
      </c>
      <c r="D143" s="1" t="s">
        <v>37</v>
      </c>
      <c r="F143" s="1">
        <v>1</v>
      </c>
      <c r="G143" s="1">
        <v>1</v>
      </c>
      <c r="H143" s="1"/>
      <c r="I143" s="1"/>
      <c r="J143" s="1"/>
      <c r="K143" s="1">
        <v>1</v>
      </c>
      <c r="L143" s="1" t="s">
        <v>120</v>
      </c>
      <c r="M143" s="1">
        <v>10</v>
      </c>
      <c r="N143" s="1" t="s">
        <v>357</v>
      </c>
      <c r="O143" s="1">
        <v>10</v>
      </c>
      <c r="P143" s="1" t="s">
        <v>41</v>
      </c>
      <c r="Q143" s="1" t="s">
        <v>42</v>
      </c>
      <c r="R143" s="1" t="s">
        <v>43</v>
      </c>
      <c r="S143" s="1" t="s">
        <v>44</v>
      </c>
      <c r="T143" s="1" t="s">
        <v>44</v>
      </c>
      <c r="U143" s="1" t="s">
        <v>44</v>
      </c>
      <c r="V143" s="1" t="s">
        <v>45</v>
      </c>
      <c r="W143" s="1" t="s">
        <v>55</v>
      </c>
      <c r="X143" s="1" t="s">
        <v>297</v>
      </c>
      <c r="Z143" s="1">
        <v>18</v>
      </c>
      <c r="AA143" s="1" t="s">
        <v>44</v>
      </c>
      <c r="AB143" s="1">
        <v>0</v>
      </c>
      <c r="AD143" s="1">
        <v>2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</row>
    <row r="144" hidden="1" spans="1:35">
      <c r="A144" s="1" t="s">
        <v>381</v>
      </c>
      <c r="B144" s="1" t="s">
        <v>382</v>
      </c>
      <c r="D144" s="1" t="s">
        <v>37</v>
      </c>
      <c r="E144" s="1"/>
      <c r="F144" s="1">
        <v>1</v>
      </c>
      <c r="G144" s="1">
        <v>1</v>
      </c>
      <c r="H144" s="1"/>
      <c r="I144" s="1"/>
      <c r="J144" s="1"/>
      <c r="K144" s="1">
        <v>1</v>
      </c>
      <c r="L144" s="1" t="s">
        <v>120</v>
      </c>
      <c r="M144" s="1">
        <v>10</v>
      </c>
      <c r="N144" s="1" t="s">
        <v>357</v>
      </c>
      <c r="O144" s="1">
        <v>10</v>
      </c>
      <c r="P144" s="1" t="s">
        <v>41</v>
      </c>
      <c r="Q144" s="1" t="s">
        <v>42</v>
      </c>
      <c r="R144" s="1" t="s">
        <v>43</v>
      </c>
      <c r="S144" s="1" t="s">
        <v>44</v>
      </c>
      <c r="T144" s="1" t="s">
        <v>44</v>
      </c>
      <c r="U144" s="1" t="s">
        <v>44</v>
      </c>
      <c r="V144" s="1" t="s">
        <v>45</v>
      </c>
      <c r="W144" s="1" t="s">
        <v>55</v>
      </c>
      <c r="X144" s="1" t="s">
        <v>297</v>
      </c>
      <c r="Z144" s="1">
        <v>18</v>
      </c>
      <c r="AA144" s="1" t="s">
        <v>44</v>
      </c>
      <c r="AB144" s="1">
        <v>0</v>
      </c>
      <c r="AD144" s="1">
        <v>2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</row>
    <row r="145" hidden="1" spans="1:35">
      <c r="A145" s="1" t="s">
        <v>383</v>
      </c>
      <c r="B145" s="1" t="s">
        <v>384</v>
      </c>
      <c r="D145" s="1" t="s">
        <v>37</v>
      </c>
      <c r="F145" s="1">
        <v>1</v>
      </c>
      <c r="G145" s="1">
        <v>1</v>
      </c>
      <c r="K145" s="1">
        <v>1</v>
      </c>
      <c r="L145" s="1" t="s">
        <v>120</v>
      </c>
      <c r="M145" s="1">
        <v>10</v>
      </c>
      <c r="N145" s="1" t="s">
        <v>357</v>
      </c>
      <c r="O145" s="1">
        <v>30</v>
      </c>
      <c r="P145" s="1" t="s">
        <v>41</v>
      </c>
      <c r="Q145" s="1" t="s">
        <v>42</v>
      </c>
      <c r="R145" s="1" t="s">
        <v>43</v>
      </c>
      <c r="S145" s="1" t="s">
        <v>44</v>
      </c>
      <c r="T145" s="1" t="s">
        <v>44</v>
      </c>
      <c r="U145" s="1" t="s">
        <v>44</v>
      </c>
      <c r="V145" s="1" t="s">
        <v>45</v>
      </c>
      <c r="W145" s="1" t="s">
        <v>55</v>
      </c>
      <c r="X145" s="1" t="s">
        <v>297</v>
      </c>
      <c r="Z145" s="1">
        <v>18</v>
      </c>
      <c r="AA145" s="1" t="s">
        <v>44</v>
      </c>
      <c r="AB145" s="1">
        <v>0</v>
      </c>
      <c r="AD145" s="1">
        <v>2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</row>
    <row r="146" hidden="1" spans="1:35">
      <c r="A146" s="1" t="s">
        <v>385</v>
      </c>
      <c r="B146" s="1" t="s">
        <v>386</v>
      </c>
      <c r="D146" s="1" t="s">
        <v>37</v>
      </c>
      <c r="F146" s="1">
        <v>1</v>
      </c>
      <c r="G146" s="1">
        <v>1</v>
      </c>
      <c r="H146" s="1"/>
      <c r="I146" s="1"/>
      <c r="J146" s="1"/>
      <c r="K146" s="1">
        <v>1</v>
      </c>
      <c r="L146" s="1" t="s">
        <v>120</v>
      </c>
      <c r="M146" s="1">
        <v>10</v>
      </c>
      <c r="N146" s="1" t="s">
        <v>357</v>
      </c>
      <c r="O146" s="1">
        <v>10</v>
      </c>
      <c r="P146" s="1" t="s">
        <v>41</v>
      </c>
      <c r="Q146" s="1" t="s">
        <v>42</v>
      </c>
      <c r="R146" s="1" t="s">
        <v>43</v>
      </c>
      <c r="S146" s="1" t="s">
        <v>44</v>
      </c>
      <c r="T146" s="1" t="s">
        <v>44</v>
      </c>
      <c r="U146" s="1" t="s">
        <v>44</v>
      </c>
      <c r="V146" s="1" t="s">
        <v>45</v>
      </c>
      <c r="W146" s="1" t="s">
        <v>55</v>
      </c>
      <c r="X146" s="1" t="s">
        <v>297</v>
      </c>
      <c r="Z146" s="1">
        <v>18</v>
      </c>
      <c r="AA146" s="1" t="s">
        <v>44</v>
      </c>
      <c r="AB146" s="1">
        <v>0</v>
      </c>
      <c r="AD146" s="1">
        <v>2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</row>
    <row r="147" spans="1:35">
      <c r="A147" s="1" t="s">
        <v>387</v>
      </c>
      <c r="B147" s="1" t="s">
        <v>388</v>
      </c>
      <c r="D147" s="1" t="s">
        <v>37</v>
      </c>
      <c r="F147" s="1">
        <v>1</v>
      </c>
      <c r="G147" s="1">
        <v>1</v>
      </c>
      <c r="H147" s="1" t="s">
        <v>38</v>
      </c>
      <c r="I147" s="1"/>
      <c r="J147" s="1"/>
      <c r="K147" s="1">
        <v>900</v>
      </c>
      <c r="L147" s="1" t="s">
        <v>120</v>
      </c>
      <c r="M147" s="1">
        <v>900</v>
      </c>
      <c r="N147" s="1" t="s">
        <v>389</v>
      </c>
      <c r="O147" s="3">
        <v>90000</v>
      </c>
      <c r="P147" s="1" t="s">
        <v>41</v>
      </c>
      <c r="Q147" s="1" t="s">
        <v>42</v>
      </c>
      <c r="R147" s="1" t="s">
        <v>43</v>
      </c>
      <c r="S147" s="1" t="s">
        <v>44</v>
      </c>
      <c r="T147" s="1" t="s">
        <v>44</v>
      </c>
      <c r="U147" s="1" t="s">
        <v>44</v>
      </c>
      <c r="V147" s="1" t="s">
        <v>45</v>
      </c>
      <c r="W147" s="1" t="s">
        <v>46</v>
      </c>
      <c r="X147" s="1" t="s">
        <v>390</v>
      </c>
      <c r="Z147" s="1">
        <v>10</v>
      </c>
      <c r="AA147" s="1" t="s">
        <v>44</v>
      </c>
      <c r="AB147" s="1">
        <v>0</v>
      </c>
      <c r="AD147" s="1">
        <v>2</v>
      </c>
      <c r="AE147" s="1">
        <v>46.1</v>
      </c>
      <c r="AF147" s="1">
        <v>35.6</v>
      </c>
      <c r="AG147" s="1">
        <v>31</v>
      </c>
      <c r="AH147" s="1">
        <v>0.05</v>
      </c>
      <c r="AI147" s="1">
        <v>9.82</v>
      </c>
    </row>
    <row r="148" hidden="1" spans="1:35">
      <c r="A148" s="1" t="s">
        <v>391</v>
      </c>
      <c r="B148" s="1" t="s">
        <v>392</v>
      </c>
      <c r="D148" s="1" t="s">
        <v>37</v>
      </c>
      <c r="F148" s="1">
        <v>1</v>
      </c>
      <c r="G148" s="1">
        <v>1</v>
      </c>
      <c r="K148" s="1">
        <v>1</v>
      </c>
      <c r="L148" s="1" t="s">
        <v>120</v>
      </c>
      <c r="M148" s="1">
        <v>900</v>
      </c>
      <c r="N148" s="1" t="s">
        <v>389</v>
      </c>
      <c r="O148" s="1">
        <v>1</v>
      </c>
      <c r="P148" s="1" t="s">
        <v>41</v>
      </c>
      <c r="Q148" s="1" t="s">
        <v>42</v>
      </c>
      <c r="R148" s="1" t="s">
        <v>43</v>
      </c>
      <c r="S148" s="1" t="s">
        <v>44</v>
      </c>
      <c r="T148" s="1" t="s">
        <v>44</v>
      </c>
      <c r="U148" s="1" t="s">
        <v>44</v>
      </c>
      <c r="V148" s="1" t="s">
        <v>45</v>
      </c>
      <c r="W148" s="1" t="s">
        <v>46</v>
      </c>
      <c r="X148" s="1" t="s">
        <v>390</v>
      </c>
      <c r="Z148" s="1">
        <v>10</v>
      </c>
      <c r="AA148" s="1" t="s">
        <v>44</v>
      </c>
      <c r="AB148" s="1">
        <v>0</v>
      </c>
      <c r="AD148" s="1">
        <v>2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</row>
    <row r="149" spans="1:35">
      <c r="A149" s="1" t="s">
        <v>393</v>
      </c>
      <c r="B149" s="1" t="s">
        <v>394</v>
      </c>
      <c r="D149" s="1" t="s">
        <v>37</v>
      </c>
      <c r="E149" t="s">
        <v>38</v>
      </c>
      <c r="F149" s="3">
        <v>1800</v>
      </c>
      <c r="G149" s="1">
        <v>1</v>
      </c>
      <c r="H149" t="s">
        <v>38</v>
      </c>
      <c r="K149" s="3">
        <v>1800</v>
      </c>
      <c r="L149" s="1" t="s">
        <v>120</v>
      </c>
      <c r="M149" s="1">
        <v>1800</v>
      </c>
      <c r="N149" s="1" t="s">
        <v>395</v>
      </c>
      <c r="O149" s="3">
        <v>180000</v>
      </c>
      <c r="P149" s="1" t="s">
        <v>41</v>
      </c>
      <c r="Q149" s="1" t="s">
        <v>42</v>
      </c>
      <c r="R149" s="1" t="s">
        <v>44</v>
      </c>
      <c r="S149" s="1" t="s">
        <v>44</v>
      </c>
      <c r="T149" s="1" t="s">
        <v>44</v>
      </c>
      <c r="U149" s="1" t="s">
        <v>44</v>
      </c>
      <c r="V149" s="1" t="s">
        <v>45</v>
      </c>
      <c r="W149" s="1" t="s">
        <v>46</v>
      </c>
      <c r="X149" s="1" t="s">
        <v>396</v>
      </c>
      <c r="Z149" s="1">
        <v>12</v>
      </c>
      <c r="AA149" s="1" t="s">
        <v>44</v>
      </c>
      <c r="AB149" s="3">
        <v>14574600</v>
      </c>
      <c r="AD149" s="1">
        <v>2</v>
      </c>
      <c r="AE149" s="1">
        <v>50.2</v>
      </c>
      <c r="AF149" s="1">
        <v>43</v>
      </c>
      <c r="AG149" s="1">
        <v>64.5</v>
      </c>
      <c r="AH149" s="1">
        <v>0.14</v>
      </c>
      <c r="AI149" s="1">
        <v>26.49</v>
      </c>
    </row>
    <row r="150" hidden="1" spans="1:35">
      <c r="A150" t="s">
        <v>397</v>
      </c>
      <c r="B150" t="s">
        <v>398</v>
      </c>
      <c r="D150" t="s">
        <v>37</v>
      </c>
      <c r="F150">
        <v>1</v>
      </c>
      <c r="G150">
        <v>1</v>
      </c>
      <c r="K150">
        <v>1</v>
      </c>
      <c r="L150" t="s">
        <v>315</v>
      </c>
      <c r="M150">
        <v>12</v>
      </c>
      <c r="N150" t="s">
        <v>399</v>
      </c>
      <c r="O150" s="2">
        <v>1200</v>
      </c>
      <c r="P150" t="s">
        <v>41</v>
      </c>
      <c r="Q150" t="s">
        <v>42</v>
      </c>
      <c r="R150" t="s">
        <v>43</v>
      </c>
      <c r="S150" t="s">
        <v>44</v>
      </c>
      <c r="T150" t="s">
        <v>44</v>
      </c>
      <c r="U150" t="s">
        <v>44</v>
      </c>
      <c r="V150" t="s">
        <v>45</v>
      </c>
      <c r="W150" t="s">
        <v>46</v>
      </c>
      <c r="X150" t="s">
        <v>194</v>
      </c>
      <c r="Z150">
        <v>400</v>
      </c>
      <c r="AA150" t="s">
        <v>44</v>
      </c>
      <c r="AB150">
        <v>0</v>
      </c>
      <c r="AD150">
        <v>2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>
      <c r="A151" s="1" t="s">
        <v>400</v>
      </c>
      <c r="B151" s="1" t="s">
        <v>401</v>
      </c>
      <c r="D151" s="1" t="s">
        <v>37</v>
      </c>
      <c r="E151" s="1"/>
      <c r="F151" s="1">
        <v>1</v>
      </c>
      <c r="G151" s="1">
        <v>1</v>
      </c>
      <c r="H151" s="1" t="s">
        <v>38</v>
      </c>
      <c r="I151" s="1">
        <f>IF(J151="Renceng",(M151/10),(M151/15))</f>
        <v>20</v>
      </c>
      <c r="J151" s="1" t="s">
        <v>149</v>
      </c>
      <c r="K151" s="1">
        <f>M151/I151</f>
        <v>10</v>
      </c>
      <c r="L151" s="1" t="s">
        <v>120</v>
      </c>
      <c r="M151" s="1">
        <v>200</v>
      </c>
      <c r="N151" s="1" t="s">
        <v>199</v>
      </c>
      <c r="O151" s="3">
        <v>20000</v>
      </c>
      <c r="P151" s="1" t="s">
        <v>41</v>
      </c>
      <c r="Q151" s="1" t="s">
        <v>42</v>
      </c>
      <c r="R151" s="1" t="s">
        <v>43</v>
      </c>
      <c r="S151" s="1" t="s">
        <v>44</v>
      </c>
      <c r="T151" s="1" t="s">
        <v>44</v>
      </c>
      <c r="U151" s="1" t="s">
        <v>44</v>
      </c>
      <c r="V151" s="1" t="s">
        <v>45</v>
      </c>
      <c r="W151" s="1" t="s">
        <v>46</v>
      </c>
      <c r="X151" s="1" t="s">
        <v>396</v>
      </c>
      <c r="Z151" s="1">
        <v>12</v>
      </c>
      <c r="AA151" s="1" t="s">
        <v>44</v>
      </c>
      <c r="AB151" s="1">
        <v>0</v>
      </c>
      <c r="AD151" s="1">
        <v>2</v>
      </c>
      <c r="AE151" s="1">
        <v>42</v>
      </c>
      <c r="AF151" s="1">
        <v>22</v>
      </c>
      <c r="AG151" s="1">
        <v>19.5</v>
      </c>
      <c r="AH151" s="1">
        <v>0.02</v>
      </c>
      <c r="AI151" s="1">
        <v>3.43</v>
      </c>
    </row>
    <row r="152" spans="1:35">
      <c r="A152" s="1" t="s">
        <v>402</v>
      </c>
      <c r="B152" s="1" t="s">
        <v>403</v>
      </c>
      <c r="D152" s="1" t="s">
        <v>37</v>
      </c>
      <c r="F152" s="1">
        <v>1</v>
      </c>
      <c r="G152" s="1">
        <v>1</v>
      </c>
      <c r="H152" t="s">
        <v>38</v>
      </c>
      <c r="I152">
        <f>IF(J152="Renceng",(M152/10),(M152/15))</f>
        <v>12</v>
      </c>
      <c r="J152" t="s">
        <v>149</v>
      </c>
      <c r="K152" s="1">
        <f>M152/I152</f>
        <v>10</v>
      </c>
      <c r="L152" s="1" t="s">
        <v>120</v>
      </c>
      <c r="M152" s="1">
        <v>120</v>
      </c>
      <c r="N152" s="1" t="s">
        <v>229</v>
      </c>
      <c r="O152" s="3">
        <v>12000</v>
      </c>
      <c r="P152" s="1" t="s">
        <v>41</v>
      </c>
      <c r="Q152" s="1" t="s">
        <v>42</v>
      </c>
      <c r="R152" s="1" t="s">
        <v>43</v>
      </c>
      <c r="S152" s="1" t="s">
        <v>44</v>
      </c>
      <c r="T152" s="1" t="s">
        <v>44</v>
      </c>
      <c r="U152" s="1" t="s">
        <v>44</v>
      </c>
      <c r="V152" s="1" t="s">
        <v>45</v>
      </c>
      <c r="W152" s="1" t="s">
        <v>230</v>
      </c>
      <c r="X152" s="1" t="s">
        <v>396</v>
      </c>
      <c r="Z152" s="1">
        <v>17</v>
      </c>
      <c r="AA152" s="1" t="s">
        <v>44</v>
      </c>
      <c r="AB152" s="3">
        <v>2330</v>
      </c>
      <c r="AD152" s="1">
        <v>2</v>
      </c>
      <c r="AE152" s="1">
        <v>43</v>
      </c>
      <c r="AF152" s="1">
        <v>30</v>
      </c>
      <c r="AG152" s="1">
        <v>26.5</v>
      </c>
      <c r="AH152" s="3">
        <v>34185</v>
      </c>
      <c r="AI152" s="1">
        <v>10.6</v>
      </c>
    </row>
    <row r="153" spans="1:35">
      <c r="A153" t="s">
        <v>404</v>
      </c>
      <c r="B153" t="s">
        <v>405</v>
      </c>
      <c r="D153" t="s">
        <v>37</v>
      </c>
      <c r="F153">
        <v>1</v>
      </c>
      <c r="G153">
        <v>1</v>
      </c>
      <c r="H153" t="s">
        <v>38</v>
      </c>
      <c r="K153">
        <v>12</v>
      </c>
      <c r="L153" t="s">
        <v>58</v>
      </c>
      <c r="M153">
        <v>12</v>
      </c>
      <c r="N153" t="s">
        <v>61</v>
      </c>
      <c r="O153" s="2">
        <v>1200</v>
      </c>
      <c r="P153" t="s">
        <v>41</v>
      </c>
      <c r="Q153" t="s">
        <v>42</v>
      </c>
      <c r="R153" t="s">
        <v>43</v>
      </c>
      <c r="S153" t="s">
        <v>44</v>
      </c>
      <c r="T153" t="s">
        <v>44</v>
      </c>
      <c r="U153" t="s">
        <v>44</v>
      </c>
      <c r="V153" t="s">
        <v>45</v>
      </c>
      <c r="W153" t="s">
        <v>46</v>
      </c>
      <c r="X153" t="s">
        <v>194</v>
      </c>
      <c r="Z153">
        <v>200</v>
      </c>
      <c r="AA153" t="s">
        <v>44</v>
      </c>
      <c r="AB153">
        <v>52</v>
      </c>
      <c r="AD153">
        <v>2</v>
      </c>
      <c r="AE153">
        <v>34.7</v>
      </c>
      <c r="AF153">
        <v>26.5</v>
      </c>
      <c r="AG153">
        <v>17.5</v>
      </c>
      <c r="AH153">
        <v>0.02</v>
      </c>
      <c r="AI153">
        <v>3.99</v>
      </c>
    </row>
    <row r="154" spans="1:35">
      <c r="A154" s="1" t="s">
        <v>406</v>
      </c>
      <c r="B154" s="1" t="s">
        <v>407</v>
      </c>
      <c r="D154" s="1" t="s">
        <v>37</v>
      </c>
      <c r="F154" s="1">
        <v>1</v>
      </c>
      <c r="G154" s="1">
        <v>1</v>
      </c>
      <c r="H154" s="1" t="s">
        <v>38</v>
      </c>
      <c r="I154" s="1">
        <f t="shared" ref="I154:I159" si="4">IF(J154="Renceng",(M154/10),(M154/15))</f>
        <v>12</v>
      </c>
      <c r="J154" s="1" t="s">
        <v>149</v>
      </c>
      <c r="K154" s="1">
        <f>M154/I154</f>
        <v>10</v>
      </c>
      <c r="L154" s="1" t="s">
        <v>120</v>
      </c>
      <c r="M154" s="1">
        <v>120</v>
      </c>
      <c r="N154" s="1" t="s">
        <v>229</v>
      </c>
      <c r="O154" s="3">
        <v>12000</v>
      </c>
      <c r="P154" s="1" t="s">
        <v>41</v>
      </c>
      <c r="Q154" s="1" t="s">
        <v>42</v>
      </c>
      <c r="R154" s="1" t="s">
        <v>43</v>
      </c>
      <c r="S154" s="1" t="s">
        <v>44</v>
      </c>
      <c r="T154" s="1" t="s">
        <v>44</v>
      </c>
      <c r="U154" s="1" t="s">
        <v>44</v>
      </c>
      <c r="V154" s="1" t="s">
        <v>45</v>
      </c>
      <c r="W154" s="1" t="s">
        <v>230</v>
      </c>
      <c r="X154" s="1" t="s">
        <v>396</v>
      </c>
      <c r="Z154" s="1">
        <v>25</v>
      </c>
      <c r="AA154" s="1" t="s">
        <v>44</v>
      </c>
      <c r="AB154" s="1">
        <v>260</v>
      </c>
      <c r="AD154" s="1">
        <v>2</v>
      </c>
      <c r="AE154" s="1">
        <v>32.5</v>
      </c>
      <c r="AF154" s="1">
        <v>20.4</v>
      </c>
      <c r="AG154" s="1">
        <v>16</v>
      </c>
      <c r="AH154" s="1">
        <v>0.01</v>
      </c>
      <c r="AI154" s="1">
        <v>3.04</v>
      </c>
    </row>
    <row r="155" spans="1:35">
      <c r="A155" s="1" t="s">
        <v>408</v>
      </c>
      <c r="B155" s="1" t="s">
        <v>409</v>
      </c>
      <c r="D155" s="1" t="s">
        <v>37</v>
      </c>
      <c r="E155" s="1"/>
      <c r="F155" s="1">
        <v>1</v>
      </c>
      <c r="G155" s="1">
        <v>1</v>
      </c>
      <c r="H155" s="1" t="s">
        <v>38</v>
      </c>
      <c r="I155" s="1">
        <f t="shared" si="4"/>
        <v>12</v>
      </c>
      <c r="J155" s="1" t="s">
        <v>149</v>
      </c>
      <c r="K155" s="1">
        <f>M155/I155</f>
        <v>10</v>
      </c>
      <c r="L155" s="1" t="s">
        <v>120</v>
      </c>
      <c r="M155" s="1">
        <v>120</v>
      </c>
      <c r="N155" s="1" t="s">
        <v>229</v>
      </c>
      <c r="O155" s="3">
        <v>12000</v>
      </c>
      <c r="P155" s="1" t="s">
        <v>41</v>
      </c>
      <c r="Q155" s="1" t="s">
        <v>42</v>
      </c>
      <c r="R155" s="1" t="s">
        <v>43</v>
      </c>
      <c r="S155" s="1" t="s">
        <v>44</v>
      </c>
      <c r="T155" s="1" t="s">
        <v>44</v>
      </c>
      <c r="U155" s="1" t="s">
        <v>44</v>
      </c>
      <c r="V155" s="1" t="s">
        <v>45</v>
      </c>
      <c r="W155" s="1" t="s">
        <v>230</v>
      </c>
      <c r="X155" s="1" t="s">
        <v>396</v>
      </c>
      <c r="Z155" s="1">
        <v>27</v>
      </c>
      <c r="AA155" s="1" t="s">
        <v>44</v>
      </c>
      <c r="AB155" s="1">
        <v>0</v>
      </c>
      <c r="AD155" s="1">
        <v>2</v>
      </c>
      <c r="AE155" s="1">
        <v>33</v>
      </c>
      <c r="AF155" s="1">
        <v>20.5</v>
      </c>
      <c r="AG155" s="1">
        <v>21.1</v>
      </c>
      <c r="AH155" s="1">
        <v>0.01</v>
      </c>
      <c r="AI155" s="1">
        <v>3.39</v>
      </c>
    </row>
    <row r="156" spans="1:35">
      <c r="A156" s="1" t="s">
        <v>410</v>
      </c>
      <c r="B156" s="1" t="s">
        <v>411</v>
      </c>
      <c r="D156" s="1" t="s">
        <v>37</v>
      </c>
      <c r="E156" s="1" t="s">
        <v>38</v>
      </c>
      <c r="F156" s="1">
        <v>200</v>
      </c>
      <c r="G156" s="1">
        <v>1</v>
      </c>
      <c r="H156" s="1" t="s">
        <v>38</v>
      </c>
      <c r="I156" s="1">
        <f t="shared" si="4"/>
        <v>20</v>
      </c>
      <c r="J156" s="1" t="s">
        <v>149</v>
      </c>
      <c r="K156" s="1">
        <f>M156/I156</f>
        <v>10</v>
      </c>
      <c r="L156" s="1" t="s">
        <v>120</v>
      </c>
      <c r="M156" s="1">
        <v>200</v>
      </c>
      <c r="N156" s="1" t="s">
        <v>199</v>
      </c>
      <c r="O156" s="3">
        <v>20000</v>
      </c>
      <c r="P156" s="1" t="s">
        <v>41</v>
      </c>
      <c r="Q156" s="1" t="s">
        <v>42</v>
      </c>
      <c r="R156" s="1" t="s">
        <v>43</v>
      </c>
      <c r="S156" s="1" t="s">
        <v>44</v>
      </c>
      <c r="T156" s="1" t="s">
        <v>44</v>
      </c>
      <c r="U156" s="1" t="s">
        <v>44</v>
      </c>
      <c r="V156" s="1" t="s">
        <v>45</v>
      </c>
      <c r="W156" s="1" t="s">
        <v>46</v>
      </c>
      <c r="X156" s="1" t="s">
        <v>396</v>
      </c>
      <c r="Z156" s="1">
        <v>7</v>
      </c>
      <c r="AA156" s="1" t="s">
        <v>44</v>
      </c>
      <c r="AB156" s="3">
        <v>4000</v>
      </c>
      <c r="AD156" s="1">
        <v>2</v>
      </c>
      <c r="AE156" s="1">
        <v>32.4</v>
      </c>
      <c r="AF156" s="1">
        <v>23.3</v>
      </c>
      <c r="AG156" s="1">
        <v>18</v>
      </c>
      <c r="AH156" s="1">
        <v>1.36</v>
      </c>
      <c r="AI156" s="1">
        <v>3.48</v>
      </c>
    </row>
    <row r="157" spans="1:35">
      <c r="A157" s="1" t="s">
        <v>412</v>
      </c>
      <c r="B157" s="1" t="s">
        <v>413</v>
      </c>
      <c r="D157" s="1" t="s">
        <v>37</v>
      </c>
      <c r="E157" s="1"/>
      <c r="F157" s="1">
        <v>1</v>
      </c>
      <c r="G157" s="1">
        <v>1</v>
      </c>
      <c r="H157" s="1" t="s">
        <v>38</v>
      </c>
      <c r="I157" s="1">
        <f t="shared" si="4"/>
        <v>20</v>
      </c>
      <c r="J157" s="1" t="s">
        <v>149</v>
      </c>
      <c r="K157" s="1">
        <f>M157/I157</f>
        <v>10</v>
      </c>
      <c r="L157" s="1" t="s">
        <v>120</v>
      </c>
      <c r="M157" s="1">
        <v>200</v>
      </c>
      <c r="N157" s="1" t="s">
        <v>414</v>
      </c>
      <c r="O157" s="3">
        <v>20000</v>
      </c>
      <c r="P157" s="1" t="s">
        <v>41</v>
      </c>
      <c r="Q157" s="1" t="s">
        <v>42</v>
      </c>
      <c r="R157" s="1" t="s">
        <v>43</v>
      </c>
      <c r="S157" s="1" t="s">
        <v>44</v>
      </c>
      <c r="T157" s="1" t="s">
        <v>44</v>
      </c>
      <c r="U157" s="1" t="s">
        <v>44</v>
      </c>
      <c r="V157" s="1" t="s">
        <v>45</v>
      </c>
      <c r="W157" s="1" t="s">
        <v>46</v>
      </c>
      <c r="X157" s="1" t="s">
        <v>396</v>
      </c>
      <c r="Z157" s="1">
        <v>7</v>
      </c>
      <c r="AA157" s="1" t="s">
        <v>44</v>
      </c>
      <c r="AB157" s="3">
        <v>8000</v>
      </c>
      <c r="AD157" s="1">
        <v>2</v>
      </c>
      <c r="AE157" s="1">
        <v>32.9</v>
      </c>
      <c r="AF157" s="1">
        <v>25</v>
      </c>
      <c r="AG157" s="1">
        <v>22.2</v>
      </c>
      <c r="AH157" s="1">
        <v>0.02</v>
      </c>
      <c r="AI157" s="1">
        <v>3.35</v>
      </c>
    </row>
    <row r="158" spans="1:35">
      <c r="A158" s="1" t="s">
        <v>415</v>
      </c>
      <c r="B158" s="1" t="s">
        <v>416</v>
      </c>
      <c r="D158" s="1" t="s">
        <v>37</v>
      </c>
      <c r="F158" s="1">
        <v>1</v>
      </c>
      <c r="G158" s="1">
        <v>1</v>
      </c>
      <c r="H158" s="1" t="s">
        <v>38</v>
      </c>
      <c r="I158" s="1">
        <f t="shared" si="4"/>
        <v>10</v>
      </c>
      <c r="J158" s="1" t="s">
        <v>149</v>
      </c>
      <c r="K158" s="1">
        <f>M158/I158</f>
        <v>10</v>
      </c>
      <c r="L158" s="1" t="s">
        <v>120</v>
      </c>
      <c r="M158" s="1">
        <v>100</v>
      </c>
      <c r="N158" s="1" t="s">
        <v>202</v>
      </c>
      <c r="O158" s="3">
        <v>10000</v>
      </c>
      <c r="P158" s="1" t="s">
        <v>41</v>
      </c>
      <c r="Q158" s="1" t="s">
        <v>42</v>
      </c>
      <c r="R158" s="1" t="s">
        <v>43</v>
      </c>
      <c r="S158" s="1" t="s">
        <v>44</v>
      </c>
      <c r="T158" s="1" t="s">
        <v>44</v>
      </c>
      <c r="U158" s="1" t="s">
        <v>44</v>
      </c>
      <c r="V158" s="1" t="s">
        <v>45</v>
      </c>
      <c r="W158" s="1" t="s">
        <v>46</v>
      </c>
      <c r="X158" s="1" t="s">
        <v>396</v>
      </c>
      <c r="Z158" s="1">
        <v>30</v>
      </c>
      <c r="AA158" s="1" t="s">
        <v>44</v>
      </c>
      <c r="AB158" s="1">
        <v>0</v>
      </c>
      <c r="AD158" s="1">
        <v>2</v>
      </c>
      <c r="AE158" s="1">
        <v>39.5</v>
      </c>
      <c r="AF158" s="1">
        <v>28.2</v>
      </c>
      <c r="AG158" s="1">
        <v>21</v>
      </c>
      <c r="AH158" s="1">
        <v>0.02</v>
      </c>
      <c r="AI158" s="1">
        <v>3.58</v>
      </c>
    </row>
    <row r="159" spans="1:35">
      <c r="A159" s="1" t="s">
        <v>417</v>
      </c>
      <c r="B159" s="1" t="s">
        <v>418</v>
      </c>
      <c r="D159" s="1" t="s">
        <v>37</v>
      </c>
      <c r="F159" s="1">
        <v>1</v>
      </c>
      <c r="G159" s="1">
        <v>1</v>
      </c>
      <c r="H159" s="1" t="s">
        <v>38</v>
      </c>
      <c r="I159" s="1">
        <f t="shared" si="4"/>
        <v>5</v>
      </c>
      <c r="J159" s="1" t="s">
        <v>149</v>
      </c>
      <c r="K159" s="1">
        <v>50</v>
      </c>
      <c r="L159" s="1" t="s">
        <v>120</v>
      </c>
      <c r="M159" s="1">
        <v>50</v>
      </c>
      <c r="N159" s="1" t="s">
        <v>205</v>
      </c>
      <c r="O159" s="3">
        <v>5000</v>
      </c>
      <c r="P159" s="1" t="s">
        <v>41</v>
      </c>
      <c r="Q159" s="1" t="s">
        <v>42</v>
      </c>
      <c r="R159" s="1" t="s">
        <v>43</v>
      </c>
      <c r="S159" s="1" t="s">
        <v>44</v>
      </c>
      <c r="T159" s="1" t="s">
        <v>44</v>
      </c>
      <c r="U159" s="1" t="s">
        <v>44</v>
      </c>
      <c r="V159" s="1" t="s">
        <v>45</v>
      </c>
      <c r="W159" s="1" t="s">
        <v>46</v>
      </c>
      <c r="X159" s="1" t="s">
        <v>396</v>
      </c>
      <c r="Z159" s="1">
        <v>60</v>
      </c>
      <c r="AA159" s="1" t="s">
        <v>44</v>
      </c>
      <c r="AB159" s="3">
        <v>72630</v>
      </c>
      <c r="AD159" s="1">
        <v>2</v>
      </c>
      <c r="AE159">
        <v>32.9</v>
      </c>
      <c r="AF159">
        <v>25</v>
      </c>
      <c r="AG159">
        <v>22.2</v>
      </c>
      <c r="AH159">
        <v>0.02</v>
      </c>
      <c r="AI159">
        <v>3.43</v>
      </c>
    </row>
    <row r="160" spans="1:35">
      <c r="A160" s="1" t="s">
        <v>419</v>
      </c>
      <c r="B160" s="1" t="s">
        <v>420</v>
      </c>
      <c r="D160" s="1" t="s">
        <v>37</v>
      </c>
      <c r="F160" s="1">
        <v>1</v>
      </c>
      <c r="G160" s="1">
        <v>1</v>
      </c>
      <c r="H160" s="1" t="s">
        <v>38</v>
      </c>
      <c r="K160" s="1">
        <v>20</v>
      </c>
      <c r="L160" s="1" t="s">
        <v>120</v>
      </c>
      <c r="M160" s="1">
        <v>20</v>
      </c>
      <c r="N160" s="1" t="s">
        <v>223</v>
      </c>
      <c r="O160" s="3">
        <v>2000</v>
      </c>
      <c r="P160" s="1" t="s">
        <v>41</v>
      </c>
      <c r="Q160" s="1" t="s">
        <v>42</v>
      </c>
      <c r="R160" s="1" t="s">
        <v>43</v>
      </c>
      <c r="S160" s="1" t="s">
        <v>44</v>
      </c>
      <c r="T160" s="1" t="s">
        <v>44</v>
      </c>
      <c r="U160" s="1" t="s">
        <v>44</v>
      </c>
      <c r="V160" s="1" t="s">
        <v>45</v>
      </c>
      <c r="W160" s="1" t="s">
        <v>46</v>
      </c>
      <c r="X160" s="1" t="s">
        <v>396</v>
      </c>
      <c r="Z160" s="1">
        <v>185</v>
      </c>
      <c r="AA160" s="1" t="s">
        <v>44</v>
      </c>
      <c r="AB160" s="1">
        <v>0</v>
      </c>
      <c r="AD160" s="1">
        <v>2</v>
      </c>
      <c r="AE160" s="1">
        <v>41</v>
      </c>
      <c r="AF160" s="1">
        <v>23.7</v>
      </c>
      <c r="AG160" s="1">
        <v>20</v>
      </c>
      <c r="AH160" s="1">
        <v>0.02</v>
      </c>
      <c r="AI160" s="1">
        <v>4.16</v>
      </c>
    </row>
    <row r="161" spans="1:35">
      <c r="A161" s="1" t="s">
        <v>421</v>
      </c>
      <c r="B161" s="1" t="s">
        <v>422</v>
      </c>
      <c r="D161" s="1" t="s">
        <v>37</v>
      </c>
      <c r="F161" s="1">
        <v>1</v>
      </c>
      <c r="G161" s="1">
        <v>1</v>
      </c>
      <c r="H161" s="1" t="s">
        <v>38</v>
      </c>
      <c r="I161" s="1"/>
      <c r="J161" s="1"/>
      <c r="K161" s="1">
        <v>10</v>
      </c>
      <c r="L161" s="1" t="s">
        <v>120</v>
      </c>
      <c r="M161" s="1">
        <v>10</v>
      </c>
      <c r="N161" s="1" t="s">
        <v>423</v>
      </c>
      <c r="O161" s="3">
        <v>1000</v>
      </c>
      <c r="P161" s="1" t="s">
        <v>41</v>
      </c>
      <c r="Q161" s="1" t="s">
        <v>42</v>
      </c>
      <c r="R161" s="1" t="s">
        <v>43</v>
      </c>
      <c r="S161" s="1" t="s">
        <v>44</v>
      </c>
      <c r="T161" s="1" t="s">
        <v>44</v>
      </c>
      <c r="U161" s="1" t="s">
        <v>44</v>
      </c>
      <c r="V161" s="1" t="s">
        <v>45</v>
      </c>
      <c r="W161" s="1" t="s">
        <v>46</v>
      </c>
      <c r="X161" s="1" t="s">
        <v>396</v>
      </c>
      <c r="Z161" s="1">
        <v>450</v>
      </c>
      <c r="AA161" s="1" t="s">
        <v>43</v>
      </c>
      <c r="AB161" s="1">
        <v>0</v>
      </c>
      <c r="AD161" s="1">
        <v>2</v>
      </c>
      <c r="AE161" s="1">
        <v>32.6</v>
      </c>
      <c r="AF161" s="1">
        <v>16.5</v>
      </c>
      <c r="AG161" s="1">
        <v>26.5</v>
      </c>
      <c r="AH161" s="1">
        <v>0.01</v>
      </c>
      <c r="AI161" s="1">
        <v>4.79</v>
      </c>
    </row>
    <row r="162" spans="1:35">
      <c r="A162" s="1" t="s">
        <v>424</v>
      </c>
      <c r="B162" s="1" t="s">
        <v>425</v>
      </c>
      <c r="D162" s="1" t="s">
        <v>37</v>
      </c>
      <c r="F162" s="1">
        <v>1</v>
      </c>
      <c r="G162" s="1">
        <v>1</v>
      </c>
      <c r="H162" s="1" t="s">
        <v>38</v>
      </c>
      <c r="I162" s="1">
        <f>IF(J162="Renceng",(M162/10),(M162/15))</f>
        <v>12</v>
      </c>
      <c r="J162" s="1" t="s">
        <v>149</v>
      </c>
      <c r="K162" s="1">
        <f>M162/I162</f>
        <v>10</v>
      </c>
      <c r="L162" s="1" t="s">
        <v>120</v>
      </c>
      <c r="M162" s="1">
        <v>120</v>
      </c>
      <c r="N162" s="1" t="s">
        <v>229</v>
      </c>
      <c r="O162" s="3">
        <v>12000</v>
      </c>
      <c r="P162" s="1" t="s">
        <v>41</v>
      </c>
      <c r="Q162" s="1" t="s">
        <v>42</v>
      </c>
      <c r="R162" s="1" t="s">
        <v>43</v>
      </c>
      <c r="S162" s="1" t="s">
        <v>44</v>
      </c>
      <c r="T162" s="1" t="s">
        <v>44</v>
      </c>
      <c r="U162" s="1" t="s">
        <v>44</v>
      </c>
      <c r="V162" s="1" t="s">
        <v>45</v>
      </c>
      <c r="W162" s="1" t="s">
        <v>230</v>
      </c>
      <c r="X162" s="1" t="s">
        <v>396</v>
      </c>
      <c r="Z162" s="1">
        <v>23</v>
      </c>
      <c r="AA162" s="1" t="s">
        <v>44</v>
      </c>
      <c r="AB162" s="1">
        <v>0</v>
      </c>
      <c r="AD162" s="1">
        <v>2</v>
      </c>
      <c r="AE162" s="1">
        <v>32.5</v>
      </c>
      <c r="AF162" s="1">
        <v>21</v>
      </c>
      <c r="AG162" s="1">
        <v>16.2</v>
      </c>
      <c r="AH162" s="1">
        <v>0.01</v>
      </c>
      <c r="AI162" s="1">
        <v>2.37</v>
      </c>
    </row>
    <row r="163" spans="1:35">
      <c r="A163" s="1" t="s">
        <v>426</v>
      </c>
      <c r="B163" s="1" t="s">
        <v>427</v>
      </c>
      <c r="D163" s="1" t="s">
        <v>37</v>
      </c>
      <c r="F163" s="1">
        <v>1</v>
      </c>
      <c r="G163" s="1">
        <v>1</v>
      </c>
      <c r="H163" s="1" t="s">
        <v>38</v>
      </c>
      <c r="I163">
        <f>IF(J163="Renceng",(M163/10),(M163/15))</f>
        <v>12</v>
      </c>
      <c r="J163" t="s">
        <v>149</v>
      </c>
      <c r="K163" s="1">
        <f>M163/I163</f>
        <v>10</v>
      </c>
      <c r="L163" s="1" t="s">
        <v>120</v>
      </c>
      <c r="M163" s="1">
        <v>120</v>
      </c>
      <c r="N163" s="1" t="s">
        <v>229</v>
      </c>
      <c r="O163" s="3">
        <v>12000</v>
      </c>
      <c r="P163" s="1" t="s">
        <v>41</v>
      </c>
      <c r="Q163" s="1" t="s">
        <v>42</v>
      </c>
      <c r="R163" s="1" t="s">
        <v>43</v>
      </c>
      <c r="S163" s="1" t="s">
        <v>44</v>
      </c>
      <c r="T163" s="1" t="s">
        <v>44</v>
      </c>
      <c r="U163" s="1" t="s">
        <v>44</v>
      </c>
      <c r="V163" s="1" t="s">
        <v>45</v>
      </c>
      <c r="W163" s="1" t="s">
        <v>230</v>
      </c>
      <c r="X163" s="1" t="s">
        <v>396</v>
      </c>
      <c r="Z163" s="1">
        <v>27</v>
      </c>
      <c r="AA163" s="1" t="s">
        <v>44</v>
      </c>
      <c r="AB163" s="1">
        <v>0</v>
      </c>
      <c r="AD163" s="1">
        <v>2</v>
      </c>
      <c r="AE163" s="1">
        <v>36</v>
      </c>
      <c r="AF163" s="1">
        <v>23.5</v>
      </c>
      <c r="AG163" s="1">
        <v>15.1</v>
      </c>
      <c r="AH163" s="1">
        <v>0.01</v>
      </c>
      <c r="AI163" s="1">
        <v>3.37</v>
      </c>
    </row>
    <row r="164" hidden="1" spans="1:35">
      <c r="A164" s="1" t="s">
        <v>428</v>
      </c>
      <c r="B164" s="1" t="s">
        <v>429</v>
      </c>
      <c r="D164" s="1" t="s">
        <v>37</v>
      </c>
      <c r="F164" s="1">
        <v>1</v>
      </c>
      <c r="G164" s="1">
        <v>1</v>
      </c>
      <c r="H164" s="1"/>
      <c r="I164" s="1"/>
      <c r="J164" s="1"/>
      <c r="K164" s="1">
        <v>1</v>
      </c>
      <c r="L164" s="1" t="s">
        <v>120</v>
      </c>
      <c r="M164" s="1">
        <v>100</v>
      </c>
      <c r="N164" s="1" t="s">
        <v>202</v>
      </c>
      <c r="O164" s="3">
        <v>10000</v>
      </c>
      <c r="P164" s="1" t="s">
        <v>41</v>
      </c>
      <c r="Q164" s="1" t="s">
        <v>42</v>
      </c>
      <c r="R164" s="1" t="s">
        <v>43</v>
      </c>
      <c r="S164" s="1" t="s">
        <v>44</v>
      </c>
      <c r="T164" s="1" t="s">
        <v>44</v>
      </c>
      <c r="U164" s="1" t="s">
        <v>44</v>
      </c>
      <c r="V164" s="1" t="s">
        <v>45</v>
      </c>
      <c r="W164" s="1" t="s">
        <v>46</v>
      </c>
      <c r="X164" s="1" t="s">
        <v>430</v>
      </c>
      <c r="Z164" s="1">
        <v>20</v>
      </c>
      <c r="AA164" s="1" t="s">
        <v>44</v>
      </c>
      <c r="AB164" s="1">
        <v>0</v>
      </c>
      <c r="AD164" s="1">
        <v>2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</row>
    <row r="165" spans="1:35">
      <c r="A165" s="1" t="s">
        <v>431</v>
      </c>
      <c r="B165" s="1" t="s">
        <v>432</v>
      </c>
      <c r="D165" s="1" t="s">
        <v>37</v>
      </c>
      <c r="F165" s="1">
        <v>1</v>
      </c>
      <c r="G165" s="1">
        <v>1</v>
      </c>
      <c r="H165" t="s">
        <v>38</v>
      </c>
      <c r="K165" s="1">
        <v>50</v>
      </c>
      <c r="L165" s="1" t="s">
        <v>120</v>
      </c>
      <c r="M165" s="1">
        <v>50</v>
      </c>
      <c r="N165" s="1" t="s">
        <v>433</v>
      </c>
      <c r="O165" s="3">
        <v>5000</v>
      </c>
      <c r="P165" s="1" t="s">
        <v>41</v>
      </c>
      <c r="Q165" s="1" t="s">
        <v>42</v>
      </c>
      <c r="R165" s="1" t="s">
        <v>43</v>
      </c>
      <c r="S165" s="1" t="s">
        <v>44</v>
      </c>
      <c r="T165" s="1" t="s">
        <v>44</v>
      </c>
      <c r="U165" s="1" t="s">
        <v>44</v>
      </c>
      <c r="V165" s="1" t="s">
        <v>45</v>
      </c>
      <c r="W165" s="1" t="s">
        <v>46</v>
      </c>
      <c r="X165" s="1" t="s">
        <v>430</v>
      </c>
      <c r="Z165" s="1">
        <v>35</v>
      </c>
      <c r="AA165" s="1" t="s">
        <v>44</v>
      </c>
      <c r="AB165" s="3">
        <v>5720</v>
      </c>
      <c r="AD165" s="1">
        <v>2</v>
      </c>
      <c r="AE165" s="1">
        <v>38.6</v>
      </c>
      <c r="AF165" s="1">
        <v>25.8</v>
      </c>
      <c r="AG165" s="1">
        <v>20.3</v>
      </c>
      <c r="AH165" s="1">
        <v>0.02</v>
      </c>
      <c r="AI165" s="1">
        <v>2.21</v>
      </c>
    </row>
    <row r="166" spans="1:35">
      <c r="A166" s="1" t="s">
        <v>434</v>
      </c>
      <c r="B166" s="1" t="s">
        <v>435</v>
      </c>
      <c r="D166" s="1" t="s">
        <v>37</v>
      </c>
      <c r="F166" s="1">
        <v>1</v>
      </c>
      <c r="G166" s="1">
        <v>1</v>
      </c>
      <c r="H166" t="s">
        <v>38</v>
      </c>
      <c r="K166" s="1">
        <v>50</v>
      </c>
      <c r="L166" s="1" t="s">
        <v>120</v>
      </c>
      <c r="M166" s="1">
        <v>50</v>
      </c>
      <c r="N166" s="1" t="s">
        <v>433</v>
      </c>
      <c r="O166" s="3">
        <v>5000</v>
      </c>
      <c r="P166" s="1" t="s">
        <v>41</v>
      </c>
      <c r="Q166" s="1" t="s">
        <v>42</v>
      </c>
      <c r="R166" s="1" t="s">
        <v>43</v>
      </c>
      <c r="S166" s="1" t="s">
        <v>44</v>
      </c>
      <c r="T166" s="1" t="s">
        <v>44</v>
      </c>
      <c r="U166" s="1" t="s">
        <v>44</v>
      </c>
      <c r="V166" s="1" t="s">
        <v>45</v>
      </c>
      <c r="W166" s="1" t="s">
        <v>46</v>
      </c>
      <c r="X166" s="1" t="s">
        <v>430</v>
      </c>
      <c r="Z166" s="1">
        <v>100</v>
      </c>
      <c r="AA166" s="1" t="s">
        <v>44</v>
      </c>
      <c r="AB166" s="3">
        <v>17370</v>
      </c>
      <c r="AD166" s="1">
        <v>2</v>
      </c>
      <c r="AE166" s="1">
        <v>38.6</v>
      </c>
      <c r="AF166" s="1">
        <v>25.8</v>
      </c>
      <c r="AG166" s="1">
        <v>20.3</v>
      </c>
      <c r="AH166" s="1">
        <v>0.02</v>
      </c>
      <c r="AI166" s="1">
        <v>5.37</v>
      </c>
    </row>
    <row r="167" spans="1:35">
      <c r="A167" s="1" t="s">
        <v>436</v>
      </c>
      <c r="B167" s="1" t="s">
        <v>437</v>
      </c>
      <c r="C167" s="1"/>
      <c r="D167" s="1" t="s">
        <v>37</v>
      </c>
      <c r="F167" s="1">
        <v>1</v>
      </c>
      <c r="G167" s="1">
        <v>1</v>
      </c>
      <c r="H167" t="s">
        <v>38</v>
      </c>
      <c r="K167" s="1">
        <v>24</v>
      </c>
      <c r="L167" s="1" t="s">
        <v>120</v>
      </c>
      <c r="M167" s="1">
        <v>24</v>
      </c>
      <c r="N167" s="1" t="s">
        <v>351</v>
      </c>
      <c r="O167" s="3">
        <v>2400</v>
      </c>
      <c r="P167" s="1" t="s">
        <v>41</v>
      </c>
      <c r="Q167" s="1" t="s">
        <v>42</v>
      </c>
      <c r="R167" s="1" t="s">
        <v>43</v>
      </c>
      <c r="S167" s="1" t="s">
        <v>44</v>
      </c>
      <c r="T167" s="1" t="s">
        <v>44</v>
      </c>
      <c r="U167" s="1" t="s">
        <v>44</v>
      </c>
      <c r="V167" s="1" t="s">
        <v>45</v>
      </c>
      <c r="W167" s="1" t="s">
        <v>46</v>
      </c>
      <c r="X167" s="1" t="s">
        <v>430</v>
      </c>
      <c r="Z167" s="1">
        <v>200</v>
      </c>
      <c r="AA167" s="1" t="s">
        <v>44</v>
      </c>
      <c r="AB167" s="3">
        <v>94360</v>
      </c>
      <c r="AD167" s="1">
        <v>2</v>
      </c>
      <c r="AE167" s="1">
        <v>38.6</v>
      </c>
      <c r="AF167" s="1">
        <v>25.8</v>
      </c>
      <c r="AG167" s="1">
        <v>20.3</v>
      </c>
      <c r="AH167" s="1">
        <v>0.02</v>
      </c>
      <c r="AI167" s="1">
        <v>5.17</v>
      </c>
    </row>
    <row r="168" spans="1:35">
      <c r="A168" s="1" t="s">
        <v>438</v>
      </c>
      <c r="B168" s="1" t="s">
        <v>439</v>
      </c>
      <c r="D168" s="1" t="s">
        <v>37</v>
      </c>
      <c r="F168" s="1">
        <v>1</v>
      </c>
      <c r="G168" s="1">
        <v>1</v>
      </c>
      <c r="H168" t="s">
        <v>38</v>
      </c>
      <c r="I168">
        <f>IF(J168="Renceng",(M168/10),(M168/15))</f>
        <v>5</v>
      </c>
      <c r="J168" t="s">
        <v>149</v>
      </c>
      <c r="K168" s="1">
        <v>50</v>
      </c>
      <c r="L168" s="1" t="s">
        <v>120</v>
      </c>
      <c r="M168" s="1">
        <v>50</v>
      </c>
      <c r="N168" s="1" t="s">
        <v>205</v>
      </c>
      <c r="O168" s="3">
        <v>5000</v>
      </c>
      <c r="P168" s="1" t="s">
        <v>41</v>
      </c>
      <c r="Q168" s="1" t="s">
        <v>42</v>
      </c>
      <c r="R168" s="1" t="s">
        <v>43</v>
      </c>
      <c r="S168" s="1" t="s">
        <v>44</v>
      </c>
      <c r="T168" s="1" t="s">
        <v>44</v>
      </c>
      <c r="U168" s="1" t="s">
        <v>44</v>
      </c>
      <c r="V168" s="1" t="s">
        <v>45</v>
      </c>
      <c r="W168" s="1" t="s">
        <v>46</v>
      </c>
      <c r="X168" s="1" t="s">
        <v>430</v>
      </c>
      <c r="Z168" s="1">
        <v>60</v>
      </c>
      <c r="AA168" s="1" t="s">
        <v>44</v>
      </c>
      <c r="AB168" s="3">
        <v>2491642</v>
      </c>
      <c r="AD168" s="1">
        <v>2</v>
      </c>
      <c r="AE168" s="1">
        <v>30.6</v>
      </c>
      <c r="AF168" s="1">
        <v>23</v>
      </c>
      <c r="AG168" s="1">
        <v>18</v>
      </c>
      <c r="AH168" s="1">
        <v>0.01</v>
      </c>
      <c r="AI168" s="1">
        <v>1.9</v>
      </c>
    </row>
    <row r="169" spans="1:35">
      <c r="A169" s="1" t="s">
        <v>440</v>
      </c>
      <c r="B169" s="1" t="s">
        <v>441</v>
      </c>
      <c r="D169" s="1" t="s">
        <v>37</v>
      </c>
      <c r="F169" s="1">
        <v>1</v>
      </c>
      <c r="G169" s="1">
        <v>1</v>
      </c>
      <c r="H169" s="1" t="s">
        <v>38</v>
      </c>
      <c r="I169">
        <f>IF(J169="Renceng",(M169/10),(M169/15))</f>
        <v>20</v>
      </c>
      <c r="J169" t="s">
        <v>149</v>
      </c>
      <c r="K169" s="1">
        <f>M169/I169</f>
        <v>10</v>
      </c>
      <c r="L169" s="1" t="s">
        <v>120</v>
      </c>
      <c r="M169" s="1">
        <v>200</v>
      </c>
      <c r="N169" s="1" t="s">
        <v>199</v>
      </c>
      <c r="O169" s="3">
        <v>20000</v>
      </c>
      <c r="P169" s="1" t="s">
        <v>41</v>
      </c>
      <c r="Q169" s="1" t="s">
        <v>42</v>
      </c>
      <c r="R169" s="1" t="s">
        <v>43</v>
      </c>
      <c r="S169" s="1" t="s">
        <v>44</v>
      </c>
      <c r="T169" s="1" t="s">
        <v>44</v>
      </c>
      <c r="U169" s="1" t="s">
        <v>44</v>
      </c>
      <c r="V169" s="1" t="s">
        <v>45</v>
      </c>
      <c r="W169" s="1" t="s">
        <v>46</v>
      </c>
      <c r="X169" s="1" t="s">
        <v>430</v>
      </c>
      <c r="Z169" s="1">
        <v>10</v>
      </c>
      <c r="AA169" s="1" t="s">
        <v>44</v>
      </c>
      <c r="AB169" s="1">
        <v>0</v>
      </c>
      <c r="AD169" s="1">
        <v>2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</row>
    <row r="170" hidden="1" spans="1:35">
      <c r="A170" s="1" t="s">
        <v>442</v>
      </c>
      <c r="B170" s="1" t="s">
        <v>443</v>
      </c>
      <c r="D170" s="1" t="s">
        <v>37</v>
      </c>
      <c r="F170" s="1">
        <v>1</v>
      </c>
      <c r="G170" s="1">
        <v>1</v>
      </c>
      <c r="K170" s="1">
        <v>1</v>
      </c>
      <c r="L170" s="1" t="s">
        <v>120</v>
      </c>
      <c r="M170" s="1">
        <v>200</v>
      </c>
      <c r="N170" s="1" t="s">
        <v>199</v>
      </c>
      <c r="O170" s="1">
        <v>1</v>
      </c>
      <c r="P170" s="1" t="s">
        <v>41</v>
      </c>
      <c r="Q170" s="1" t="s">
        <v>42</v>
      </c>
      <c r="R170" s="1" t="s">
        <v>43</v>
      </c>
      <c r="S170" s="1" t="s">
        <v>44</v>
      </c>
      <c r="T170" s="1" t="s">
        <v>44</v>
      </c>
      <c r="U170" s="1" t="s">
        <v>44</v>
      </c>
      <c r="V170" s="1" t="s">
        <v>45</v>
      </c>
      <c r="W170" s="1" t="s">
        <v>46</v>
      </c>
      <c r="X170" s="1" t="s">
        <v>430</v>
      </c>
      <c r="Z170" s="1">
        <v>10</v>
      </c>
      <c r="AA170" s="1" t="s">
        <v>44</v>
      </c>
      <c r="AB170" s="1">
        <v>0</v>
      </c>
      <c r="AD170" s="1">
        <v>2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</row>
    <row r="171" spans="1:35">
      <c r="A171" s="1" t="s">
        <v>444</v>
      </c>
      <c r="B171" s="1" t="s">
        <v>445</v>
      </c>
      <c r="D171" s="1" t="s">
        <v>37</v>
      </c>
      <c r="F171" s="1">
        <v>1</v>
      </c>
      <c r="G171" s="1">
        <v>1</v>
      </c>
      <c r="H171" t="s">
        <v>38</v>
      </c>
      <c r="I171">
        <f>IF(J171="Renceng",(M171/10),(M171/15))</f>
        <v>10</v>
      </c>
      <c r="J171" s="1" t="s">
        <v>149</v>
      </c>
      <c r="K171" s="1">
        <f>M171/I171</f>
        <v>10</v>
      </c>
      <c r="L171" s="1" t="s">
        <v>120</v>
      </c>
      <c r="M171" s="1">
        <v>100</v>
      </c>
      <c r="N171" s="1" t="s">
        <v>202</v>
      </c>
      <c r="O171" s="3">
        <v>10000</v>
      </c>
      <c r="P171" s="1" t="s">
        <v>41</v>
      </c>
      <c r="Q171" s="1" t="s">
        <v>42</v>
      </c>
      <c r="R171" s="1" t="s">
        <v>43</v>
      </c>
      <c r="S171" s="1" t="s">
        <v>44</v>
      </c>
      <c r="T171" s="1" t="s">
        <v>44</v>
      </c>
      <c r="U171" s="1" t="s">
        <v>44</v>
      </c>
      <c r="V171" s="1" t="s">
        <v>45</v>
      </c>
      <c r="W171" s="1" t="s">
        <v>46</v>
      </c>
      <c r="X171" s="1" t="s">
        <v>430</v>
      </c>
      <c r="Z171" s="1">
        <v>30</v>
      </c>
      <c r="AA171" s="1" t="s">
        <v>44</v>
      </c>
      <c r="AB171" s="3">
        <v>308289</v>
      </c>
      <c r="AD171" s="1">
        <v>2</v>
      </c>
      <c r="AE171" s="1">
        <v>39.5</v>
      </c>
      <c r="AF171" s="1">
        <v>28.2</v>
      </c>
      <c r="AG171" s="1">
        <v>21</v>
      </c>
      <c r="AH171" s="1">
        <v>0.02</v>
      </c>
      <c r="AI171" s="1">
        <v>3.48</v>
      </c>
    </row>
    <row r="172" spans="1:35">
      <c r="A172" s="1" t="s">
        <v>446</v>
      </c>
      <c r="B172" s="1" t="s">
        <v>447</v>
      </c>
      <c r="D172" s="1" t="s">
        <v>37</v>
      </c>
      <c r="F172" s="1">
        <v>1</v>
      </c>
      <c r="G172" s="1">
        <v>1</v>
      </c>
      <c r="H172" t="s">
        <v>38</v>
      </c>
      <c r="K172" s="1">
        <v>25</v>
      </c>
      <c r="L172" s="1" t="s">
        <v>120</v>
      </c>
      <c r="M172" s="1">
        <v>25</v>
      </c>
      <c r="N172" s="1" t="s">
        <v>448</v>
      </c>
      <c r="O172" s="3">
        <v>2500</v>
      </c>
      <c r="P172" s="1" t="s">
        <v>41</v>
      </c>
      <c r="Q172" s="1" t="s">
        <v>42</v>
      </c>
      <c r="R172" s="1" t="s">
        <v>43</v>
      </c>
      <c r="S172" s="1" t="s">
        <v>44</v>
      </c>
      <c r="T172" s="1" t="s">
        <v>44</v>
      </c>
      <c r="U172" s="1" t="s">
        <v>44</v>
      </c>
      <c r="V172" s="1" t="s">
        <v>45</v>
      </c>
      <c r="W172" s="1" t="s">
        <v>46</v>
      </c>
      <c r="X172" s="1" t="s">
        <v>430</v>
      </c>
      <c r="Z172" s="1">
        <v>135</v>
      </c>
      <c r="AA172" s="1" t="s">
        <v>44</v>
      </c>
      <c r="AB172" s="1">
        <v>68</v>
      </c>
      <c r="AD172" s="1">
        <v>2</v>
      </c>
      <c r="AE172" s="1">
        <v>32.8</v>
      </c>
      <c r="AF172" s="1">
        <v>24.4</v>
      </c>
      <c r="AG172" s="1">
        <v>20.5</v>
      </c>
      <c r="AH172" s="1">
        <v>0.02</v>
      </c>
      <c r="AI172" s="1">
        <v>3.69</v>
      </c>
    </row>
    <row r="173" hidden="1" spans="1:35">
      <c r="A173" s="1" t="s">
        <v>449</v>
      </c>
      <c r="B173" s="1" t="s">
        <v>450</v>
      </c>
      <c r="D173" s="1" t="s">
        <v>37</v>
      </c>
      <c r="F173" s="1">
        <v>1</v>
      </c>
      <c r="G173" s="1">
        <v>1</v>
      </c>
      <c r="K173" s="1">
        <v>1</v>
      </c>
      <c r="L173" s="1" t="s">
        <v>120</v>
      </c>
      <c r="M173" s="1">
        <v>25</v>
      </c>
      <c r="N173" s="1" t="s">
        <v>448</v>
      </c>
      <c r="O173" s="3">
        <v>2500</v>
      </c>
      <c r="P173" s="1" t="s">
        <v>41</v>
      </c>
      <c r="Q173" s="1" t="s">
        <v>42</v>
      </c>
      <c r="R173" s="1" t="s">
        <v>43</v>
      </c>
      <c r="S173" s="1" t="s">
        <v>44</v>
      </c>
      <c r="T173" s="1" t="s">
        <v>44</v>
      </c>
      <c r="U173" s="1" t="s">
        <v>44</v>
      </c>
      <c r="V173" s="1" t="s">
        <v>45</v>
      </c>
      <c r="W173" s="1" t="s">
        <v>46</v>
      </c>
      <c r="X173" s="1" t="s">
        <v>430</v>
      </c>
      <c r="Z173" s="1">
        <v>135</v>
      </c>
      <c r="AA173" s="1" t="s">
        <v>44</v>
      </c>
      <c r="AB173" s="1">
        <v>0</v>
      </c>
      <c r="AD173" s="1">
        <v>2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</row>
    <row r="174" hidden="1" spans="1:35">
      <c r="A174" s="1" t="s">
        <v>451</v>
      </c>
      <c r="B174" s="1" t="s">
        <v>452</v>
      </c>
      <c r="D174" s="1" t="s">
        <v>37</v>
      </c>
      <c r="F174" s="1">
        <v>1</v>
      </c>
      <c r="G174" s="1">
        <v>1</v>
      </c>
      <c r="H174" s="1"/>
      <c r="I174" s="1"/>
      <c r="J174" s="1"/>
      <c r="K174" s="1">
        <v>1</v>
      </c>
      <c r="L174" s="1" t="s">
        <v>120</v>
      </c>
      <c r="M174" s="1">
        <v>25</v>
      </c>
      <c r="N174" s="1" t="s">
        <v>448</v>
      </c>
      <c r="O174" s="3">
        <v>2500</v>
      </c>
      <c r="P174" s="1" t="s">
        <v>41</v>
      </c>
      <c r="Q174" s="1" t="s">
        <v>42</v>
      </c>
      <c r="R174" s="1" t="s">
        <v>43</v>
      </c>
      <c r="S174" s="1" t="s">
        <v>44</v>
      </c>
      <c r="T174" s="1" t="s">
        <v>44</v>
      </c>
      <c r="U174" s="1" t="s">
        <v>44</v>
      </c>
      <c r="V174" s="1" t="s">
        <v>45</v>
      </c>
      <c r="W174" s="1" t="s">
        <v>46</v>
      </c>
      <c r="X174" s="1" t="s">
        <v>430</v>
      </c>
      <c r="Z174" s="1">
        <v>135</v>
      </c>
      <c r="AA174" s="1" t="s">
        <v>44</v>
      </c>
      <c r="AB174" s="1">
        <v>0</v>
      </c>
      <c r="AD174" s="1">
        <v>2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</row>
    <row r="175" spans="1:35">
      <c r="A175" s="1" t="s">
        <v>453</v>
      </c>
      <c r="B175" s="1" t="s">
        <v>454</v>
      </c>
      <c r="D175" s="1" t="s">
        <v>37</v>
      </c>
      <c r="F175" s="1">
        <v>1</v>
      </c>
      <c r="G175" s="1">
        <v>1</v>
      </c>
      <c r="H175" t="s">
        <v>38</v>
      </c>
      <c r="K175" s="1">
        <v>9</v>
      </c>
      <c r="L175" s="1" t="s">
        <v>120</v>
      </c>
      <c r="M175" s="1">
        <v>9</v>
      </c>
      <c r="N175" s="1" t="s">
        <v>226</v>
      </c>
      <c r="O175" s="1">
        <v>900</v>
      </c>
      <c r="P175" s="1" t="s">
        <v>41</v>
      </c>
      <c r="Q175" s="1" t="s">
        <v>42</v>
      </c>
      <c r="R175" s="1" t="s">
        <v>43</v>
      </c>
      <c r="S175" s="1" t="s">
        <v>44</v>
      </c>
      <c r="T175" s="1" t="s">
        <v>44</v>
      </c>
      <c r="U175" s="1" t="s">
        <v>44</v>
      </c>
      <c r="V175" s="1" t="s">
        <v>45</v>
      </c>
      <c r="W175" s="1" t="s">
        <v>46</v>
      </c>
      <c r="X175" s="1" t="s">
        <v>430</v>
      </c>
      <c r="Z175" s="1">
        <v>380</v>
      </c>
      <c r="AA175" s="1" t="s">
        <v>43</v>
      </c>
      <c r="AB175" s="1">
        <v>0</v>
      </c>
      <c r="AD175" s="1">
        <v>2</v>
      </c>
      <c r="AE175" s="1">
        <v>32.6</v>
      </c>
      <c r="AF175" s="1">
        <v>16.5</v>
      </c>
      <c r="AG175" s="1">
        <v>26.5</v>
      </c>
      <c r="AH175" s="1">
        <v>0.01</v>
      </c>
      <c r="AI175" s="1">
        <v>3.71</v>
      </c>
    </row>
    <row r="176" hidden="1" spans="1:35">
      <c r="A176" s="1" t="s">
        <v>455</v>
      </c>
      <c r="B176" s="1" t="s">
        <v>456</v>
      </c>
      <c r="D176" s="1" t="s">
        <v>37</v>
      </c>
      <c r="F176" s="1">
        <v>1</v>
      </c>
      <c r="G176" s="1">
        <v>1</v>
      </c>
      <c r="H176" s="1"/>
      <c r="K176" s="1">
        <v>1</v>
      </c>
      <c r="L176" s="1" t="s">
        <v>120</v>
      </c>
      <c r="M176" s="1">
        <v>9</v>
      </c>
      <c r="N176" s="1" t="s">
        <v>226</v>
      </c>
      <c r="O176" s="1">
        <v>1</v>
      </c>
      <c r="P176" s="1" t="s">
        <v>41</v>
      </c>
      <c r="Q176" s="1" t="s">
        <v>42</v>
      </c>
      <c r="R176" s="1" t="s">
        <v>43</v>
      </c>
      <c r="S176" s="1" t="s">
        <v>44</v>
      </c>
      <c r="T176" s="1" t="s">
        <v>44</v>
      </c>
      <c r="U176" s="1" t="s">
        <v>44</v>
      </c>
      <c r="V176" s="1" t="s">
        <v>45</v>
      </c>
      <c r="W176" s="1" t="s">
        <v>46</v>
      </c>
      <c r="X176" s="1" t="s">
        <v>430</v>
      </c>
      <c r="Z176" s="1">
        <v>380</v>
      </c>
      <c r="AA176" s="1" t="s">
        <v>44</v>
      </c>
      <c r="AB176" s="1">
        <v>0</v>
      </c>
      <c r="AD176" s="1">
        <v>2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</row>
    <row r="177" spans="1:35">
      <c r="A177" s="1" t="s">
        <v>457</v>
      </c>
      <c r="B177" s="1" t="s">
        <v>458</v>
      </c>
      <c r="D177" s="1" t="s">
        <v>37</v>
      </c>
      <c r="F177" s="1">
        <v>1</v>
      </c>
      <c r="G177" s="1">
        <v>1</v>
      </c>
      <c r="H177" t="s">
        <v>38</v>
      </c>
      <c r="I177">
        <f t="shared" ref="I177:I183" si="5">IF(J177="Renceng",(M177/10),(M177/15))</f>
        <v>12</v>
      </c>
      <c r="J177" t="s">
        <v>149</v>
      </c>
      <c r="K177" s="1">
        <f t="shared" ref="K177:K183" si="6">M177/I177</f>
        <v>10</v>
      </c>
      <c r="L177" s="1" t="s">
        <v>120</v>
      </c>
      <c r="M177" s="1">
        <v>120</v>
      </c>
      <c r="N177" s="1" t="s">
        <v>229</v>
      </c>
      <c r="O177" s="3">
        <v>12000</v>
      </c>
      <c r="P177" s="1" t="s">
        <v>41</v>
      </c>
      <c r="Q177" s="1" t="s">
        <v>42</v>
      </c>
      <c r="R177" s="1" t="s">
        <v>43</v>
      </c>
      <c r="S177" s="1" t="s">
        <v>44</v>
      </c>
      <c r="T177" s="1" t="s">
        <v>44</v>
      </c>
      <c r="U177" s="1" t="s">
        <v>44</v>
      </c>
      <c r="V177" s="1" t="s">
        <v>45</v>
      </c>
      <c r="W177" s="1" t="s">
        <v>230</v>
      </c>
      <c r="X177" s="1" t="s">
        <v>430</v>
      </c>
      <c r="Z177" s="1">
        <v>24</v>
      </c>
      <c r="AA177" s="1" t="s">
        <v>44</v>
      </c>
      <c r="AB177" s="1">
        <v>0</v>
      </c>
      <c r="AD177" s="1">
        <v>2</v>
      </c>
      <c r="AE177" s="1">
        <v>42.5</v>
      </c>
      <c r="AF177" s="1">
        <v>22.5</v>
      </c>
      <c r="AG177" s="1">
        <v>19.1</v>
      </c>
      <c r="AH177" s="1">
        <v>0.02</v>
      </c>
      <c r="AI177" s="1">
        <v>3.62</v>
      </c>
    </row>
    <row r="178" spans="1:35">
      <c r="A178" s="1" t="s">
        <v>459</v>
      </c>
      <c r="B178" s="1" t="s">
        <v>460</v>
      </c>
      <c r="D178" s="1" t="s">
        <v>37</v>
      </c>
      <c r="F178" s="1">
        <v>1</v>
      </c>
      <c r="G178" s="1">
        <v>1</v>
      </c>
      <c r="H178" s="1" t="s">
        <v>38</v>
      </c>
      <c r="I178" s="1">
        <f t="shared" si="5"/>
        <v>12</v>
      </c>
      <c r="J178" s="1" t="s">
        <v>149</v>
      </c>
      <c r="K178" s="1">
        <f t="shared" si="6"/>
        <v>10</v>
      </c>
      <c r="L178" s="1" t="s">
        <v>120</v>
      </c>
      <c r="M178" s="1">
        <v>120</v>
      </c>
      <c r="N178" s="1" t="s">
        <v>229</v>
      </c>
      <c r="O178" s="3">
        <v>12000</v>
      </c>
      <c r="P178" s="1" t="s">
        <v>41</v>
      </c>
      <c r="Q178" s="1" t="s">
        <v>42</v>
      </c>
      <c r="R178" s="1" t="s">
        <v>43</v>
      </c>
      <c r="S178" s="1" t="s">
        <v>44</v>
      </c>
      <c r="T178" s="1" t="s">
        <v>44</v>
      </c>
      <c r="U178" s="1" t="s">
        <v>44</v>
      </c>
      <c r="V178" s="1" t="s">
        <v>45</v>
      </c>
      <c r="W178" s="1" t="s">
        <v>151</v>
      </c>
      <c r="X178" s="1" t="s">
        <v>461</v>
      </c>
      <c r="Z178" s="1">
        <v>25</v>
      </c>
      <c r="AA178" s="1" t="s">
        <v>44</v>
      </c>
      <c r="AB178" s="1">
        <v>0</v>
      </c>
      <c r="AD178" s="1">
        <v>2</v>
      </c>
      <c r="AE178" s="1">
        <v>39.6</v>
      </c>
      <c r="AF178" s="1">
        <v>22</v>
      </c>
      <c r="AG178" s="1">
        <v>21</v>
      </c>
      <c r="AH178" s="1">
        <v>0.02</v>
      </c>
      <c r="AI178" s="1">
        <v>3.68</v>
      </c>
    </row>
    <row r="179" spans="1:35">
      <c r="A179" s="1" t="s">
        <v>462</v>
      </c>
      <c r="B179" s="1" t="s">
        <v>463</v>
      </c>
      <c r="C179" s="1"/>
      <c r="D179" s="1" t="s">
        <v>37</v>
      </c>
      <c r="F179" s="1">
        <v>1</v>
      </c>
      <c r="G179" s="1">
        <v>1</v>
      </c>
      <c r="H179" t="s">
        <v>38</v>
      </c>
      <c r="I179">
        <f t="shared" si="5"/>
        <v>12</v>
      </c>
      <c r="J179" t="str">
        <f>IF(OR(ISNUMBER(SEARCH("2Bks",B179)),ISNUMBER(SEARCH("5Bks",B179))),"RencengBNS",IF(ISNUMBER(SEARCH("1Box",B179)),"BoxBNS"," "))</f>
        <v>RencengBNS</v>
      </c>
      <c r="K179" s="1">
        <f t="shared" si="6"/>
        <v>15</v>
      </c>
      <c r="L179" s="1" t="s">
        <v>120</v>
      </c>
      <c r="M179" s="1">
        <v>180</v>
      </c>
      <c r="N179" s="1" t="s">
        <v>464</v>
      </c>
      <c r="O179" s="3">
        <v>18000</v>
      </c>
      <c r="P179" s="1" t="s">
        <v>41</v>
      </c>
      <c r="Q179" s="1" t="s">
        <v>42</v>
      </c>
      <c r="R179" s="1" t="s">
        <v>43</v>
      </c>
      <c r="S179" s="1" t="s">
        <v>44</v>
      </c>
      <c r="T179" s="1" t="s">
        <v>44</v>
      </c>
      <c r="U179" s="1" t="s">
        <v>44</v>
      </c>
      <c r="V179" s="1" t="s">
        <v>45</v>
      </c>
      <c r="W179" s="1" t="s">
        <v>151</v>
      </c>
      <c r="X179" s="1" t="s">
        <v>461</v>
      </c>
      <c r="Z179" s="1">
        <v>25</v>
      </c>
      <c r="AA179" s="1" t="s">
        <v>44</v>
      </c>
      <c r="AB179" s="3">
        <v>10455</v>
      </c>
      <c r="AD179" s="1">
        <v>2</v>
      </c>
      <c r="AE179" s="1">
        <v>38.6</v>
      </c>
      <c r="AF179" s="1">
        <v>25.6</v>
      </c>
      <c r="AG179" s="1">
        <v>17.8</v>
      </c>
      <c r="AH179" s="1">
        <v>0.02</v>
      </c>
      <c r="AI179" s="1">
        <v>5.51</v>
      </c>
    </row>
    <row r="180" spans="1:35">
      <c r="A180" s="1" t="s">
        <v>465</v>
      </c>
      <c r="B180" s="1" t="s">
        <v>466</v>
      </c>
      <c r="D180" s="1" t="s">
        <v>37</v>
      </c>
      <c r="F180" s="1">
        <v>1</v>
      </c>
      <c r="G180" s="1">
        <v>1</v>
      </c>
      <c r="H180" t="s">
        <v>38</v>
      </c>
      <c r="I180">
        <f t="shared" si="5"/>
        <v>25</v>
      </c>
      <c r="J180" t="s">
        <v>149</v>
      </c>
      <c r="K180" s="1">
        <f t="shared" si="6"/>
        <v>10</v>
      </c>
      <c r="L180" s="1" t="s">
        <v>120</v>
      </c>
      <c r="M180" s="1">
        <v>250</v>
      </c>
      <c r="N180" s="1" t="s">
        <v>150</v>
      </c>
      <c r="O180" s="3">
        <v>25000</v>
      </c>
      <c r="P180" s="1" t="s">
        <v>41</v>
      </c>
      <c r="Q180" s="1" t="s">
        <v>42</v>
      </c>
      <c r="R180" s="1" t="s">
        <v>43</v>
      </c>
      <c r="S180" s="1" t="s">
        <v>44</v>
      </c>
      <c r="T180" s="1" t="s">
        <v>44</v>
      </c>
      <c r="U180" s="1" t="s">
        <v>44</v>
      </c>
      <c r="V180" s="1" t="s">
        <v>45</v>
      </c>
      <c r="W180" s="1" t="s">
        <v>151</v>
      </c>
      <c r="X180" s="1" t="s">
        <v>461</v>
      </c>
      <c r="Z180" s="1">
        <v>20</v>
      </c>
      <c r="AA180" s="1" t="s">
        <v>44</v>
      </c>
      <c r="AB180" s="3">
        <v>10530</v>
      </c>
      <c r="AD180" s="1">
        <v>2</v>
      </c>
      <c r="AE180" s="1">
        <v>30.6</v>
      </c>
      <c r="AF180" s="1">
        <v>23</v>
      </c>
      <c r="AG180" s="1">
        <v>18</v>
      </c>
      <c r="AH180" s="1">
        <v>0.01</v>
      </c>
      <c r="AI180" s="1">
        <v>3.3</v>
      </c>
    </row>
    <row r="181" spans="1:35">
      <c r="A181" s="1" t="s">
        <v>467</v>
      </c>
      <c r="B181" s="1" t="s">
        <v>468</v>
      </c>
      <c r="D181" s="1" t="s">
        <v>37</v>
      </c>
      <c r="F181" s="1">
        <v>1</v>
      </c>
      <c r="G181" s="1">
        <v>1</v>
      </c>
      <c r="H181" t="s">
        <v>38</v>
      </c>
      <c r="I181">
        <f t="shared" si="5"/>
        <v>25</v>
      </c>
      <c r="J181" t="str">
        <f>IF(OR(ISNUMBER(SEARCH("2Bks",B181)),ISNUMBER(SEARCH("5Bks",B181))),"RencengBNS",IF(ISNUMBER(SEARCH("1Box",B181)),"BoxBNS"," "))</f>
        <v>RencengBNS</v>
      </c>
      <c r="K181" s="1">
        <f t="shared" si="6"/>
        <v>15</v>
      </c>
      <c r="L181" s="1" t="s">
        <v>120</v>
      </c>
      <c r="M181" s="1">
        <v>375</v>
      </c>
      <c r="N181" s="1" t="s">
        <v>469</v>
      </c>
      <c r="O181" s="3">
        <v>37500</v>
      </c>
      <c r="P181" s="1" t="s">
        <v>41</v>
      </c>
      <c r="Q181" s="1" t="s">
        <v>42</v>
      </c>
      <c r="R181" s="1" t="s">
        <v>43</v>
      </c>
      <c r="S181" s="1" t="s">
        <v>44</v>
      </c>
      <c r="T181" s="1" t="s">
        <v>44</v>
      </c>
      <c r="U181" s="1" t="s">
        <v>44</v>
      </c>
      <c r="V181" s="1" t="s">
        <v>45</v>
      </c>
      <c r="W181" s="1" t="s">
        <v>151</v>
      </c>
      <c r="X181" s="1" t="s">
        <v>461</v>
      </c>
      <c r="Z181" s="1">
        <v>20</v>
      </c>
      <c r="AA181" s="1" t="s">
        <v>44</v>
      </c>
      <c r="AB181" s="1">
        <v>0</v>
      </c>
      <c r="AD181" s="1">
        <v>2</v>
      </c>
      <c r="AE181" s="1">
        <v>39.5</v>
      </c>
      <c r="AF181" s="1">
        <v>28</v>
      </c>
      <c r="AG181" s="1">
        <v>22.6</v>
      </c>
      <c r="AH181" s="1">
        <v>0.02</v>
      </c>
      <c r="AI181" s="1">
        <v>8.25</v>
      </c>
    </row>
    <row r="182" spans="1:35">
      <c r="A182" s="1" t="s">
        <v>470</v>
      </c>
      <c r="B182" s="1" t="s">
        <v>471</v>
      </c>
      <c r="D182" s="1" t="s">
        <v>37</v>
      </c>
      <c r="F182" s="1">
        <v>1</v>
      </c>
      <c r="G182" s="1">
        <v>1</v>
      </c>
      <c r="H182" t="s">
        <v>38</v>
      </c>
      <c r="I182">
        <f t="shared" si="5"/>
        <v>25</v>
      </c>
      <c r="J182" t="s">
        <v>149</v>
      </c>
      <c r="K182" s="1">
        <f t="shared" si="6"/>
        <v>10</v>
      </c>
      <c r="L182" s="1" t="s">
        <v>120</v>
      </c>
      <c r="M182" s="1">
        <v>250</v>
      </c>
      <c r="N182" s="1" t="s">
        <v>150</v>
      </c>
      <c r="O182" s="3">
        <v>25000</v>
      </c>
      <c r="P182" s="1" t="s">
        <v>41</v>
      </c>
      <c r="Q182" s="1" t="s">
        <v>42</v>
      </c>
      <c r="R182" s="1" t="s">
        <v>43</v>
      </c>
      <c r="S182" s="1" t="s">
        <v>44</v>
      </c>
      <c r="T182" s="1" t="s">
        <v>44</v>
      </c>
      <c r="U182" s="1" t="s">
        <v>44</v>
      </c>
      <c r="V182" s="1" t="s">
        <v>45</v>
      </c>
      <c r="W182" s="1" t="s">
        <v>151</v>
      </c>
      <c r="X182" s="1" t="s">
        <v>461</v>
      </c>
      <c r="Z182" s="1">
        <v>20</v>
      </c>
      <c r="AA182" s="1" t="s">
        <v>44</v>
      </c>
      <c r="AB182" s="3">
        <v>6960</v>
      </c>
      <c r="AD182" s="1">
        <v>2</v>
      </c>
      <c r="AE182" s="1">
        <v>30.5</v>
      </c>
      <c r="AF182" s="1">
        <v>23.5</v>
      </c>
      <c r="AG182" s="1">
        <v>18</v>
      </c>
      <c r="AH182" s="1">
        <v>0.01</v>
      </c>
      <c r="AI182" s="1">
        <v>1.75</v>
      </c>
    </row>
    <row r="183" spans="1:35">
      <c r="A183" s="1" t="s">
        <v>472</v>
      </c>
      <c r="B183" s="1" t="s">
        <v>473</v>
      </c>
      <c r="D183" s="1" t="s">
        <v>37</v>
      </c>
      <c r="F183" s="1">
        <v>1</v>
      </c>
      <c r="G183" s="1">
        <v>1</v>
      </c>
      <c r="H183" t="s">
        <v>38</v>
      </c>
      <c r="I183">
        <f t="shared" si="5"/>
        <v>25</v>
      </c>
      <c r="J183" t="str">
        <f>IF(OR(ISNUMBER(SEARCH("2Bks",B183)),ISNUMBER(SEARCH("5Bks",B183))),"RencengBNS",IF(ISNUMBER(SEARCH("1Box",B183)),"BoxBNS"," "))</f>
        <v>RencengBNS</v>
      </c>
      <c r="K183" s="1">
        <f t="shared" si="6"/>
        <v>15</v>
      </c>
      <c r="L183" s="1" t="s">
        <v>120</v>
      </c>
      <c r="M183" s="1">
        <v>375</v>
      </c>
      <c r="N183" s="1" t="s">
        <v>469</v>
      </c>
      <c r="O183" s="3">
        <v>37500</v>
      </c>
      <c r="P183" s="1" t="s">
        <v>41</v>
      </c>
      <c r="Q183" s="1" t="s">
        <v>42</v>
      </c>
      <c r="R183" s="1" t="s">
        <v>43</v>
      </c>
      <c r="S183" s="1" t="s">
        <v>44</v>
      </c>
      <c r="T183" s="1" t="s">
        <v>44</v>
      </c>
      <c r="U183" s="1" t="s">
        <v>44</v>
      </c>
      <c r="V183" s="1" t="s">
        <v>45</v>
      </c>
      <c r="W183" s="1" t="s">
        <v>151</v>
      </c>
      <c r="X183" s="1" t="s">
        <v>461</v>
      </c>
      <c r="Z183" s="1">
        <v>20</v>
      </c>
      <c r="AA183" s="1" t="s">
        <v>44</v>
      </c>
      <c r="AB183" s="1">
        <v>0</v>
      </c>
      <c r="AD183" s="1">
        <v>2</v>
      </c>
      <c r="AE183" s="1">
        <v>39.5</v>
      </c>
      <c r="AF183" s="1">
        <v>28</v>
      </c>
      <c r="AG183" s="1">
        <v>22.6</v>
      </c>
      <c r="AH183" s="1">
        <v>0.02</v>
      </c>
      <c r="AI183" s="1">
        <v>8.25</v>
      </c>
    </row>
    <row r="184" spans="1:35">
      <c r="A184" t="s">
        <v>474</v>
      </c>
      <c r="B184" t="s">
        <v>475</v>
      </c>
      <c r="D184" t="s">
        <v>37</v>
      </c>
      <c r="F184">
        <v>1</v>
      </c>
      <c r="G184">
        <v>1</v>
      </c>
      <c r="H184" t="s">
        <v>38</v>
      </c>
      <c r="K184">
        <v>12</v>
      </c>
      <c r="L184" t="s">
        <v>39</v>
      </c>
      <c r="M184">
        <v>12</v>
      </c>
      <c r="N184" t="s">
        <v>476</v>
      </c>
      <c r="O184">
        <v>12</v>
      </c>
      <c r="P184" t="s">
        <v>41</v>
      </c>
      <c r="Q184" t="s">
        <v>42</v>
      </c>
      <c r="R184" t="s">
        <v>43</v>
      </c>
      <c r="S184" t="s">
        <v>44</v>
      </c>
      <c r="T184" t="s">
        <v>44</v>
      </c>
      <c r="U184" t="s">
        <v>44</v>
      </c>
      <c r="V184" t="s">
        <v>45</v>
      </c>
      <c r="W184" t="s">
        <v>46</v>
      </c>
      <c r="X184" t="s">
        <v>297</v>
      </c>
      <c r="Z184">
        <v>100</v>
      </c>
      <c r="AA184" t="s">
        <v>44</v>
      </c>
      <c r="AB184">
        <v>96</v>
      </c>
      <c r="AD184">
        <v>2</v>
      </c>
      <c r="AE184">
        <v>28</v>
      </c>
      <c r="AF184">
        <v>21.4</v>
      </c>
      <c r="AG184">
        <v>27.4</v>
      </c>
      <c r="AH184">
        <v>0.02</v>
      </c>
      <c r="AI184">
        <v>2.26</v>
      </c>
    </row>
    <row r="185" hidden="1" spans="1:35">
      <c r="A185" t="s">
        <v>477</v>
      </c>
      <c r="B185" t="s">
        <v>478</v>
      </c>
      <c r="D185" t="s">
        <v>37</v>
      </c>
      <c r="F185">
        <v>1</v>
      </c>
      <c r="G185">
        <v>1</v>
      </c>
      <c r="K185">
        <v>1</v>
      </c>
      <c r="L185" t="s">
        <v>39</v>
      </c>
      <c r="M185">
        <v>40</v>
      </c>
      <c r="N185" t="s">
        <v>479</v>
      </c>
      <c r="O185">
        <v>1</v>
      </c>
      <c r="P185" t="s">
        <v>41</v>
      </c>
      <c r="Q185" t="s">
        <v>42</v>
      </c>
      <c r="R185" t="s">
        <v>44</v>
      </c>
      <c r="S185" t="s">
        <v>44</v>
      </c>
      <c r="T185" t="s">
        <v>44</v>
      </c>
      <c r="U185" t="s">
        <v>44</v>
      </c>
      <c r="V185" t="s">
        <v>45</v>
      </c>
      <c r="W185" t="s">
        <v>151</v>
      </c>
      <c r="X185" t="s">
        <v>297</v>
      </c>
      <c r="Z185">
        <v>40</v>
      </c>
      <c r="AA185" t="s">
        <v>44</v>
      </c>
      <c r="AB185">
        <v>0</v>
      </c>
      <c r="AD185">
        <v>2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>
      <c r="A186" t="s">
        <v>480</v>
      </c>
      <c r="B186" t="s">
        <v>481</v>
      </c>
      <c r="D186" t="s">
        <v>37</v>
      </c>
      <c r="F186">
        <v>1</v>
      </c>
      <c r="G186">
        <v>1</v>
      </c>
      <c r="H186" t="s">
        <v>38</v>
      </c>
      <c r="K186">
        <v>12</v>
      </c>
      <c r="L186" t="s">
        <v>39</v>
      </c>
      <c r="M186">
        <v>12</v>
      </c>
      <c r="N186" t="s">
        <v>476</v>
      </c>
      <c r="O186" s="2">
        <v>1200</v>
      </c>
      <c r="P186" t="s">
        <v>41</v>
      </c>
      <c r="Q186" t="s">
        <v>42</v>
      </c>
      <c r="R186" t="s">
        <v>43</v>
      </c>
      <c r="S186" t="s">
        <v>44</v>
      </c>
      <c r="T186" t="s">
        <v>44</v>
      </c>
      <c r="U186" t="s">
        <v>44</v>
      </c>
      <c r="V186" t="s">
        <v>45</v>
      </c>
      <c r="W186" t="s">
        <v>151</v>
      </c>
      <c r="X186" t="s">
        <v>482</v>
      </c>
      <c r="Z186">
        <v>375</v>
      </c>
      <c r="AA186" t="s">
        <v>44</v>
      </c>
      <c r="AB186">
        <v>10</v>
      </c>
      <c r="AD186">
        <v>2</v>
      </c>
      <c r="AE186">
        <v>39.6</v>
      </c>
      <c r="AF186">
        <v>28.1</v>
      </c>
      <c r="AG186">
        <v>25.2</v>
      </c>
      <c r="AH186">
        <v>0.03</v>
      </c>
      <c r="AI186">
        <v>6.01</v>
      </c>
    </row>
    <row r="187" spans="1:35">
      <c r="A187" t="s">
        <v>483</v>
      </c>
      <c r="B187" t="s">
        <v>484</v>
      </c>
      <c r="D187" t="s">
        <v>37</v>
      </c>
      <c r="F187">
        <v>1</v>
      </c>
      <c r="G187">
        <v>1</v>
      </c>
      <c r="H187" t="s">
        <v>38</v>
      </c>
      <c r="K187">
        <v>12</v>
      </c>
      <c r="L187" t="s">
        <v>39</v>
      </c>
      <c r="M187">
        <v>12</v>
      </c>
      <c r="N187" t="s">
        <v>476</v>
      </c>
      <c r="O187" s="2">
        <v>1200</v>
      </c>
      <c r="P187" t="s">
        <v>41</v>
      </c>
      <c r="Q187" t="s">
        <v>42</v>
      </c>
      <c r="R187" t="s">
        <v>43</v>
      </c>
      <c r="S187" t="s">
        <v>44</v>
      </c>
      <c r="T187" t="s">
        <v>44</v>
      </c>
      <c r="U187" t="s">
        <v>44</v>
      </c>
      <c r="V187" t="s">
        <v>45</v>
      </c>
      <c r="W187" t="s">
        <v>151</v>
      </c>
      <c r="X187" t="s">
        <v>482</v>
      </c>
      <c r="Z187">
        <v>375</v>
      </c>
      <c r="AA187" t="s">
        <v>44</v>
      </c>
      <c r="AB187">
        <v>3</v>
      </c>
      <c r="AD187">
        <v>2</v>
      </c>
      <c r="AE187">
        <v>39.6</v>
      </c>
      <c r="AF187">
        <v>28.1</v>
      </c>
      <c r="AG187">
        <v>25.2</v>
      </c>
      <c r="AH187">
        <v>0.03</v>
      </c>
      <c r="AI187">
        <v>5.85</v>
      </c>
    </row>
    <row r="188" spans="1:35">
      <c r="A188" t="s">
        <v>485</v>
      </c>
      <c r="B188" t="s">
        <v>486</v>
      </c>
      <c r="D188" t="s">
        <v>37</v>
      </c>
      <c r="F188">
        <v>1</v>
      </c>
      <c r="G188">
        <v>1</v>
      </c>
      <c r="H188" t="s">
        <v>38</v>
      </c>
      <c r="K188">
        <v>12</v>
      </c>
      <c r="L188" t="s">
        <v>39</v>
      </c>
      <c r="M188">
        <v>12</v>
      </c>
      <c r="N188" t="s">
        <v>476</v>
      </c>
      <c r="O188" s="2">
        <v>1200</v>
      </c>
      <c r="P188" t="s">
        <v>41</v>
      </c>
      <c r="Q188" t="s">
        <v>42</v>
      </c>
      <c r="R188" t="s">
        <v>43</v>
      </c>
      <c r="S188" t="s">
        <v>44</v>
      </c>
      <c r="T188" t="s">
        <v>44</v>
      </c>
      <c r="U188" t="s">
        <v>44</v>
      </c>
      <c r="V188" t="s">
        <v>45</v>
      </c>
      <c r="W188" t="s">
        <v>151</v>
      </c>
      <c r="X188" t="s">
        <v>482</v>
      </c>
      <c r="Z188">
        <v>375</v>
      </c>
      <c r="AA188" t="s">
        <v>44</v>
      </c>
      <c r="AB188">
        <v>14</v>
      </c>
      <c r="AD188">
        <v>2</v>
      </c>
      <c r="AE188">
        <v>39.6</v>
      </c>
      <c r="AF188">
        <v>28.1</v>
      </c>
      <c r="AG188">
        <v>25.2</v>
      </c>
      <c r="AH188">
        <v>0.03</v>
      </c>
      <c r="AI188">
        <v>5.85</v>
      </c>
    </row>
    <row r="189" spans="1:35">
      <c r="A189" t="s">
        <v>487</v>
      </c>
      <c r="B189" t="s">
        <v>488</v>
      </c>
      <c r="D189" t="s">
        <v>37</v>
      </c>
      <c r="F189">
        <v>1</v>
      </c>
      <c r="G189">
        <v>1</v>
      </c>
      <c r="H189" t="s">
        <v>38</v>
      </c>
      <c r="K189">
        <v>12</v>
      </c>
      <c r="L189" t="s">
        <v>39</v>
      </c>
      <c r="M189">
        <v>12</v>
      </c>
      <c r="N189" t="s">
        <v>476</v>
      </c>
      <c r="O189" s="2">
        <v>1200</v>
      </c>
      <c r="P189" t="s">
        <v>41</v>
      </c>
      <c r="Q189" t="s">
        <v>42</v>
      </c>
      <c r="R189" t="s">
        <v>43</v>
      </c>
      <c r="S189" t="s">
        <v>44</v>
      </c>
      <c r="T189" t="s">
        <v>44</v>
      </c>
      <c r="U189" t="s">
        <v>44</v>
      </c>
      <c r="V189" t="s">
        <v>45</v>
      </c>
      <c r="W189" t="s">
        <v>151</v>
      </c>
      <c r="X189" t="s">
        <v>482</v>
      </c>
      <c r="Z189">
        <v>375</v>
      </c>
      <c r="AA189" t="s">
        <v>44</v>
      </c>
      <c r="AB189">
        <v>9</v>
      </c>
      <c r="AD189">
        <v>2</v>
      </c>
      <c r="AE189">
        <v>39.6</v>
      </c>
      <c r="AF189">
        <v>28.1</v>
      </c>
      <c r="AG189">
        <v>25.2</v>
      </c>
      <c r="AH189">
        <v>0.03</v>
      </c>
      <c r="AI189">
        <v>5.84</v>
      </c>
    </row>
    <row r="190" hidden="1" spans="1:35">
      <c r="A190" t="s">
        <v>489</v>
      </c>
      <c r="B190" t="s">
        <v>490</v>
      </c>
      <c r="D190" t="s">
        <v>37</v>
      </c>
      <c r="F190">
        <v>1</v>
      </c>
      <c r="G190">
        <v>1</v>
      </c>
      <c r="K190">
        <v>1</v>
      </c>
      <c r="L190" t="s">
        <v>39</v>
      </c>
      <c r="M190">
        <v>30</v>
      </c>
      <c r="N190" t="s">
        <v>491</v>
      </c>
      <c r="O190">
        <v>1</v>
      </c>
      <c r="P190" t="s">
        <v>41</v>
      </c>
      <c r="Q190" t="s">
        <v>42</v>
      </c>
      <c r="R190" t="s">
        <v>44</v>
      </c>
      <c r="S190" t="s">
        <v>44</v>
      </c>
      <c r="T190" t="s">
        <v>44</v>
      </c>
      <c r="U190" t="s">
        <v>44</v>
      </c>
      <c r="V190" t="s">
        <v>45</v>
      </c>
      <c r="W190" t="s">
        <v>151</v>
      </c>
      <c r="X190" t="s">
        <v>297</v>
      </c>
      <c r="Z190">
        <v>40</v>
      </c>
      <c r="AA190" t="s">
        <v>44</v>
      </c>
      <c r="AB190">
        <v>0</v>
      </c>
      <c r="AD190">
        <v>2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hidden="1" spans="1:35">
      <c r="A191" t="s">
        <v>492</v>
      </c>
      <c r="B191" t="s">
        <v>493</v>
      </c>
      <c r="D191" t="s">
        <v>37</v>
      </c>
      <c r="F191">
        <v>1</v>
      </c>
      <c r="G191">
        <v>1</v>
      </c>
      <c r="K191">
        <v>1</v>
      </c>
      <c r="L191" t="s">
        <v>39</v>
      </c>
      <c r="M191">
        <v>24</v>
      </c>
      <c r="N191" t="s">
        <v>40</v>
      </c>
      <c r="O191" s="2">
        <v>2400</v>
      </c>
      <c r="P191" t="s">
        <v>41</v>
      </c>
      <c r="Q191" t="s">
        <v>42</v>
      </c>
      <c r="R191" t="s">
        <v>43</v>
      </c>
      <c r="S191" t="s">
        <v>44</v>
      </c>
      <c r="T191" t="s">
        <v>44</v>
      </c>
      <c r="U191" t="s">
        <v>44</v>
      </c>
      <c r="V191" t="s">
        <v>45</v>
      </c>
      <c r="W191" t="s">
        <v>46</v>
      </c>
      <c r="X191" t="s">
        <v>297</v>
      </c>
      <c r="Z191">
        <v>60</v>
      </c>
      <c r="AA191" t="s">
        <v>44</v>
      </c>
      <c r="AB191">
        <v>51</v>
      </c>
      <c r="AD191">
        <v>2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>
      <c r="A192" t="s">
        <v>494</v>
      </c>
      <c r="B192" t="s">
        <v>495</v>
      </c>
      <c r="D192" t="s">
        <v>37</v>
      </c>
      <c r="F192">
        <v>1</v>
      </c>
      <c r="G192">
        <v>1</v>
      </c>
      <c r="H192" t="s">
        <v>38</v>
      </c>
      <c r="I192">
        <v>12</v>
      </c>
      <c r="J192" t="str">
        <f>IF(OR(ISNUMBER(SEARCH("2Bks",B192)),ISNUMBER(SEARCH("5Bks",B192))),"RencengBNS",IF(ISNUMBER(SEARCH("1Box",B192)),"BoxBNS"," "))</f>
        <v>BoxBNS</v>
      </c>
      <c r="K192">
        <v>2</v>
      </c>
      <c r="L192" t="s">
        <v>39</v>
      </c>
      <c r="M192">
        <v>24</v>
      </c>
      <c r="N192" t="s">
        <v>40</v>
      </c>
      <c r="O192">
        <v>1</v>
      </c>
      <c r="P192" t="s">
        <v>41</v>
      </c>
      <c r="Q192" t="s">
        <v>42</v>
      </c>
      <c r="R192" t="s">
        <v>43</v>
      </c>
      <c r="S192" t="s">
        <v>44</v>
      </c>
      <c r="T192" t="s">
        <v>44</v>
      </c>
      <c r="U192" t="s">
        <v>44</v>
      </c>
      <c r="V192" t="s">
        <v>45</v>
      </c>
      <c r="W192" t="s">
        <v>46</v>
      </c>
      <c r="X192" t="s">
        <v>297</v>
      </c>
      <c r="Z192">
        <v>60</v>
      </c>
      <c r="AA192" t="s">
        <v>44</v>
      </c>
      <c r="AB192">
        <v>0</v>
      </c>
      <c r="AD192">
        <v>2</v>
      </c>
      <c r="AE192">
        <v>34.7</v>
      </c>
      <c r="AF192">
        <v>26.5</v>
      </c>
      <c r="AG192">
        <v>17.5</v>
      </c>
      <c r="AH192">
        <v>0.02</v>
      </c>
      <c r="AI192">
        <v>2.95</v>
      </c>
    </row>
    <row r="193" spans="1:35">
      <c r="A193" t="s">
        <v>496</v>
      </c>
      <c r="B193" t="s">
        <v>497</v>
      </c>
      <c r="D193" t="s">
        <v>37</v>
      </c>
      <c r="F193">
        <v>1</v>
      </c>
      <c r="G193">
        <v>1</v>
      </c>
      <c r="H193" t="s">
        <v>38</v>
      </c>
      <c r="K193">
        <v>15</v>
      </c>
      <c r="L193" t="s">
        <v>53</v>
      </c>
      <c r="M193">
        <v>15</v>
      </c>
      <c r="N193" t="s">
        <v>498</v>
      </c>
      <c r="O193" s="2">
        <v>1500</v>
      </c>
      <c r="P193" t="s">
        <v>41</v>
      </c>
      <c r="Q193" t="s">
        <v>42</v>
      </c>
      <c r="R193" t="s">
        <v>43</v>
      </c>
      <c r="S193" t="s">
        <v>44</v>
      </c>
      <c r="T193" t="s">
        <v>44</v>
      </c>
      <c r="U193" t="s">
        <v>44</v>
      </c>
      <c r="V193" t="s">
        <v>45</v>
      </c>
      <c r="W193" t="s">
        <v>55</v>
      </c>
      <c r="X193" t="s">
        <v>297</v>
      </c>
      <c r="Z193" s="2">
        <v>1000</v>
      </c>
      <c r="AA193" t="s">
        <v>44</v>
      </c>
      <c r="AB193">
        <v>1</v>
      </c>
      <c r="AD193">
        <v>2</v>
      </c>
      <c r="AE193">
        <v>53.4</v>
      </c>
      <c r="AF193">
        <v>27.5</v>
      </c>
      <c r="AG193">
        <v>35</v>
      </c>
      <c r="AH193">
        <v>0.05</v>
      </c>
      <c r="AI193">
        <v>16.28</v>
      </c>
    </row>
    <row r="194" spans="1:35">
      <c r="A194" t="s">
        <v>499</v>
      </c>
      <c r="B194" t="s">
        <v>500</v>
      </c>
      <c r="D194" t="s">
        <v>37</v>
      </c>
      <c r="F194">
        <v>1</v>
      </c>
      <c r="G194">
        <v>1</v>
      </c>
      <c r="H194" t="s">
        <v>38</v>
      </c>
      <c r="K194">
        <v>12</v>
      </c>
      <c r="L194" t="s">
        <v>58</v>
      </c>
      <c r="M194">
        <v>12</v>
      </c>
      <c r="N194" t="s">
        <v>61</v>
      </c>
      <c r="O194" s="2">
        <v>1200</v>
      </c>
      <c r="P194" t="s">
        <v>41</v>
      </c>
      <c r="Q194" t="s">
        <v>42</v>
      </c>
      <c r="R194" t="s">
        <v>43</v>
      </c>
      <c r="S194" t="s">
        <v>44</v>
      </c>
      <c r="T194" t="s">
        <v>44</v>
      </c>
      <c r="U194" t="s">
        <v>44</v>
      </c>
      <c r="V194" t="s">
        <v>45</v>
      </c>
      <c r="W194" t="s">
        <v>55</v>
      </c>
      <c r="X194" t="s">
        <v>297</v>
      </c>
      <c r="Z194">
        <v>200</v>
      </c>
      <c r="AA194" t="s">
        <v>44</v>
      </c>
      <c r="AB194">
        <v>13</v>
      </c>
      <c r="AD194">
        <v>2</v>
      </c>
      <c r="AE194">
        <v>34.7</v>
      </c>
      <c r="AF194">
        <v>26.5</v>
      </c>
      <c r="AG194">
        <v>17.5</v>
      </c>
      <c r="AH194">
        <v>0.02</v>
      </c>
      <c r="AI194">
        <v>4</v>
      </c>
    </row>
    <row r="195" hidden="1" spans="1:35">
      <c r="A195" t="s">
        <v>501</v>
      </c>
      <c r="B195" t="s">
        <v>502</v>
      </c>
      <c r="D195" t="s">
        <v>37</v>
      </c>
      <c r="F195">
        <v>1</v>
      </c>
      <c r="G195">
        <v>1</v>
      </c>
      <c r="K195">
        <v>1</v>
      </c>
      <c r="L195" t="s">
        <v>53</v>
      </c>
      <c r="M195">
        <v>20</v>
      </c>
      <c r="N195" t="s">
        <v>64</v>
      </c>
      <c r="O195" s="2">
        <v>2000</v>
      </c>
      <c r="P195" t="s">
        <v>41</v>
      </c>
      <c r="Q195" t="s">
        <v>42</v>
      </c>
      <c r="R195" t="s">
        <v>43</v>
      </c>
      <c r="S195" t="s">
        <v>44</v>
      </c>
      <c r="T195" t="s">
        <v>44</v>
      </c>
      <c r="U195" t="s">
        <v>44</v>
      </c>
      <c r="V195" t="s">
        <v>45</v>
      </c>
      <c r="W195" t="s">
        <v>55</v>
      </c>
      <c r="X195" t="s">
        <v>297</v>
      </c>
      <c r="Z195">
        <v>250</v>
      </c>
      <c r="AA195" t="s">
        <v>44</v>
      </c>
      <c r="AB195">
        <v>0</v>
      </c>
      <c r="AD195">
        <v>2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>
      <c r="A196" t="s">
        <v>503</v>
      </c>
      <c r="B196" t="s">
        <v>504</v>
      </c>
      <c r="D196" t="s">
        <v>37</v>
      </c>
      <c r="F196">
        <v>1</v>
      </c>
      <c r="G196">
        <v>1</v>
      </c>
      <c r="H196" t="s">
        <v>38</v>
      </c>
      <c r="K196">
        <v>26</v>
      </c>
      <c r="L196" t="s">
        <v>53</v>
      </c>
      <c r="M196">
        <v>26</v>
      </c>
      <c r="N196" t="s">
        <v>505</v>
      </c>
      <c r="O196" s="2">
        <v>2600</v>
      </c>
      <c r="P196" t="s">
        <v>41</v>
      </c>
      <c r="Q196" t="s">
        <v>42</v>
      </c>
      <c r="R196" t="s">
        <v>43</v>
      </c>
      <c r="S196" t="s">
        <v>44</v>
      </c>
      <c r="T196" t="s">
        <v>44</v>
      </c>
      <c r="U196" t="s">
        <v>44</v>
      </c>
      <c r="V196" t="s">
        <v>45</v>
      </c>
      <c r="W196" t="s">
        <v>55</v>
      </c>
      <c r="X196" t="s">
        <v>297</v>
      </c>
      <c r="Z196">
        <v>500</v>
      </c>
      <c r="AA196" t="s">
        <v>44</v>
      </c>
      <c r="AB196">
        <v>0</v>
      </c>
      <c r="AD196">
        <v>2</v>
      </c>
      <c r="AE196">
        <v>53.4</v>
      </c>
      <c r="AF196">
        <v>27.5</v>
      </c>
      <c r="AG196">
        <v>35</v>
      </c>
      <c r="AH196">
        <v>0.05</v>
      </c>
      <c r="AI196">
        <v>14.36</v>
      </c>
    </row>
    <row r="197" spans="1:35">
      <c r="A197" t="s">
        <v>506</v>
      </c>
      <c r="B197" t="s">
        <v>507</v>
      </c>
      <c r="D197" t="s">
        <v>37</v>
      </c>
      <c r="F197">
        <v>1</v>
      </c>
      <c r="G197">
        <v>1</v>
      </c>
      <c r="H197" t="s">
        <v>38</v>
      </c>
      <c r="K197">
        <v>24</v>
      </c>
      <c r="L197" t="s">
        <v>39</v>
      </c>
      <c r="M197">
        <v>24</v>
      </c>
      <c r="N197" t="s">
        <v>40</v>
      </c>
      <c r="O197" s="2">
        <v>2400</v>
      </c>
      <c r="P197" t="s">
        <v>41</v>
      </c>
      <c r="Q197" t="s">
        <v>42</v>
      </c>
      <c r="R197" t="s">
        <v>43</v>
      </c>
      <c r="S197" t="s">
        <v>44</v>
      </c>
      <c r="T197" t="s">
        <v>44</v>
      </c>
      <c r="U197" t="s">
        <v>44</v>
      </c>
      <c r="V197" t="s">
        <v>45</v>
      </c>
      <c r="W197" t="s">
        <v>46</v>
      </c>
      <c r="X197" t="s">
        <v>297</v>
      </c>
      <c r="Z197">
        <v>60</v>
      </c>
      <c r="AA197" t="s">
        <v>44</v>
      </c>
      <c r="AB197">
        <v>52</v>
      </c>
      <c r="AD197">
        <v>2</v>
      </c>
      <c r="AE197">
        <v>34.7</v>
      </c>
      <c r="AF197">
        <v>26.5</v>
      </c>
      <c r="AG197">
        <v>17.5</v>
      </c>
      <c r="AH197">
        <v>0.02</v>
      </c>
      <c r="AI197">
        <v>2.95</v>
      </c>
    </row>
    <row r="198" spans="1:35">
      <c r="A198" t="s">
        <v>508</v>
      </c>
      <c r="B198" t="s">
        <v>509</v>
      </c>
      <c r="D198" t="s">
        <v>37</v>
      </c>
      <c r="F198">
        <v>1</v>
      </c>
      <c r="G198">
        <v>1</v>
      </c>
      <c r="H198" t="s">
        <v>38</v>
      </c>
      <c r="I198">
        <v>12</v>
      </c>
      <c r="J198" t="str">
        <f>IF(OR(ISNUMBER(SEARCH("2Bks",B198)),ISNUMBER(SEARCH("5Bks",B198))),"RencengBNS",IF(ISNUMBER(SEARCH("1Box",B198)),"BoxBNS"," "))</f>
        <v>BoxBNS</v>
      </c>
      <c r="K198">
        <v>2</v>
      </c>
      <c r="L198" t="s">
        <v>39</v>
      </c>
      <c r="M198">
        <v>24</v>
      </c>
      <c r="N198" t="s">
        <v>40</v>
      </c>
      <c r="O198">
        <v>1</v>
      </c>
      <c r="P198" t="s">
        <v>41</v>
      </c>
      <c r="Q198" t="s">
        <v>42</v>
      </c>
      <c r="R198" t="s">
        <v>43</v>
      </c>
      <c r="S198" t="s">
        <v>44</v>
      </c>
      <c r="T198" t="s">
        <v>44</v>
      </c>
      <c r="U198" t="s">
        <v>44</v>
      </c>
      <c r="V198" t="s">
        <v>45</v>
      </c>
      <c r="W198" t="s">
        <v>46</v>
      </c>
      <c r="X198" t="s">
        <v>297</v>
      </c>
      <c r="Z198">
        <v>60</v>
      </c>
      <c r="AA198" t="s">
        <v>44</v>
      </c>
      <c r="AB198">
        <v>0</v>
      </c>
      <c r="AD198">
        <v>2</v>
      </c>
      <c r="AE198">
        <v>34.7</v>
      </c>
      <c r="AF198">
        <v>26.5</v>
      </c>
      <c r="AG198">
        <v>17.5</v>
      </c>
      <c r="AH198">
        <v>0.02</v>
      </c>
      <c r="AI198">
        <v>2.95</v>
      </c>
    </row>
    <row r="199" spans="1:35">
      <c r="A199" t="s">
        <v>510</v>
      </c>
      <c r="B199" t="s">
        <v>511</v>
      </c>
      <c r="D199" t="s">
        <v>37</v>
      </c>
      <c r="F199">
        <v>1</v>
      </c>
      <c r="G199">
        <v>1</v>
      </c>
      <c r="H199" t="s">
        <v>38</v>
      </c>
      <c r="K199">
        <v>20</v>
      </c>
      <c r="L199" t="s">
        <v>39</v>
      </c>
      <c r="M199">
        <v>20</v>
      </c>
      <c r="N199" t="s">
        <v>50</v>
      </c>
      <c r="O199">
        <v>1</v>
      </c>
      <c r="P199" t="s">
        <v>41</v>
      </c>
      <c r="Q199" t="s">
        <v>42</v>
      </c>
      <c r="R199" t="s">
        <v>43</v>
      </c>
      <c r="S199" t="s">
        <v>44</v>
      </c>
      <c r="T199" t="s">
        <v>44</v>
      </c>
      <c r="U199" t="s">
        <v>44</v>
      </c>
      <c r="V199" t="s">
        <v>45</v>
      </c>
      <c r="W199" t="s">
        <v>46</v>
      </c>
      <c r="X199" t="s">
        <v>297</v>
      </c>
      <c r="Z199">
        <v>50</v>
      </c>
      <c r="AA199" t="s">
        <v>44</v>
      </c>
      <c r="AB199">
        <v>0</v>
      </c>
      <c r="AD199">
        <v>2</v>
      </c>
      <c r="AE199">
        <v>28</v>
      </c>
      <c r="AF199">
        <v>21.4</v>
      </c>
      <c r="AG199">
        <v>27.4</v>
      </c>
      <c r="AH199">
        <v>0.02</v>
      </c>
      <c r="AI199">
        <v>2.09</v>
      </c>
    </row>
    <row r="200" hidden="1" spans="1:35">
      <c r="A200" t="s">
        <v>512</v>
      </c>
      <c r="B200" t="s">
        <v>513</v>
      </c>
      <c r="D200" t="s">
        <v>37</v>
      </c>
      <c r="F200">
        <v>1</v>
      </c>
      <c r="G200">
        <v>1</v>
      </c>
      <c r="K200">
        <v>1</v>
      </c>
      <c r="L200" t="s">
        <v>53</v>
      </c>
      <c r="M200">
        <v>20</v>
      </c>
      <c r="N200" t="s">
        <v>64</v>
      </c>
      <c r="O200">
        <v>1</v>
      </c>
      <c r="P200" t="s">
        <v>41</v>
      </c>
      <c r="Q200" t="s">
        <v>42</v>
      </c>
      <c r="R200" t="s">
        <v>43</v>
      </c>
      <c r="S200" t="s">
        <v>44</v>
      </c>
      <c r="T200" t="s">
        <v>44</v>
      </c>
      <c r="U200" t="s">
        <v>44</v>
      </c>
      <c r="V200" t="s">
        <v>45</v>
      </c>
      <c r="W200" t="s">
        <v>55</v>
      </c>
      <c r="X200" t="s">
        <v>297</v>
      </c>
      <c r="Z200">
        <v>250</v>
      </c>
      <c r="AA200" t="s">
        <v>44</v>
      </c>
      <c r="AB200">
        <v>0</v>
      </c>
      <c r="AD200">
        <v>2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hidden="1" spans="1:35">
      <c r="A201" t="s">
        <v>514</v>
      </c>
      <c r="B201" t="s">
        <v>515</v>
      </c>
      <c r="D201" t="s">
        <v>37</v>
      </c>
      <c r="F201">
        <v>1</v>
      </c>
      <c r="G201">
        <v>1</v>
      </c>
      <c r="K201">
        <v>1</v>
      </c>
      <c r="L201" t="s">
        <v>53</v>
      </c>
      <c r="M201">
        <v>10</v>
      </c>
      <c r="N201" t="s">
        <v>54</v>
      </c>
      <c r="O201">
        <v>10</v>
      </c>
      <c r="P201" t="s">
        <v>41</v>
      </c>
      <c r="Q201" t="s">
        <v>42</v>
      </c>
      <c r="R201" t="s">
        <v>43</v>
      </c>
      <c r="S201" t="s">
        <v>44</v>
      </c>
      <c r="T201" t="s">
        <v>44</v>
      </c>
      <c r="U201" t="s">
        <v>44</v>
      </c>
      <c r="V201" t="s">
        <v>45</v>
      </c>
      <c r="W201" t="s">
        <v>55</v>
      </c>
      <c r="X201" t="s">
        <v>297</v>
      </c>
      <c r="Z201" s="2">
        <v>1000</v>
      </c>
      <c r="AA201" t="s">
        <v>43</v>
      </c>
      <c r="AB201">
        <v>0</v>
      </c>
      <c r="AD201">
        <v>2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>
      <c r="A202" t="s">
        <v>516</v>
      </c>
      <c r="B202" t="s">
        <v>515</v>
      </c>
      <c r="D202" t="s">
        <v>37</v>
      </c>
      <c r="F202">
        <v>1</v>
      </c>
      <c r="G202">
        <v>1</v>
      </c>
      <c r="H202" t="s">
        <v>38</v>
      </c>
      <c r="K202">
        <v>15</v>
      </c>
      <c r="L202" t="s">
        <v>53</v>
      </c>
      <c r="M202">
        <v>15</v>
      </c>
      <c r="N202" t="s">
        <v>498</v>
      </c>
      <c r="O202">
        <v>15</v>
      </c>
      <c r="P202" t="s">
        <v>41</v>
      </c>
      <c r="Q202" t="s">
        <v>42</v>
      </c>
      <c r="R202" t="s">
        <v>43</v>
      </c>
      <c r="S202" t="s">
        <v>44</v>
      </c>
      <c r="T202" t="s">
        <v>44</v>
      </c>
      <c r="U202" t="s">
        <v>44</v>
      </c>
      <c r="V202" t="s">
        <v>45</v>
      </c>
      <c r="W202" t="s">
        <v>55</v>
      </c>
      <c r="X202" t="s">
        <v>297</v>
      </c>
      <c r="Z202" s="2">
        <v>1000</v>
      </c>
      <c r="AA202" t="s">
        <v>44</v>
      </c>
      <c r="AB202">
        <v>2</v>
      </c>
      <c r="AD202">
        <v>2</v>
      </c>
      <c r="AE202">
        <v>53.4</v>
      </c>
      <c r="AF202">
        <v>27.5</v>
      </c>
      <c r="AG202">
        <v>35</v>
      </c>
      <c r="AH202">
        <v>0.05</v>
      </c>
      <c r="AI202">
        <v>16.28</v>
      </c>
    </row>
    <row r="203" hidden="1" spans="1:35">
      <c r="A203" t="s">
        <v>517</v>
      </c>
      <c r="B203" t="s">
        <v>518</v>
      </c>
      <c r="D203" t="s">
        <v>37</v>
      </c>
      <c r="F203">
        <v>1</v>
      </c>
      <c r="G203">
        <v>1</v>
      </c>
      <c r="K203">
        <v>1</v>
      </c>
      <c r="L203" t="s">
        <v>58</v>
      </c>
      <c r="M203">
        <v>36</v>
      </c>
      <c r="N203" t="s">
        <v>59</v>
      </c>
      <c r="O203" s="2">
        <v>3600</v>
      </c>
      <c r="P203" t="s">
        <v>41</v>
      </c>
      <c r="Q203" t="s">
        <v>42</v>
      </c>
      <c r="R203" t="s">
        <v>43</v>
      </c>
      <c r="S203" t="s">
        <v>44</v>
      </c>
      <c r="T203" t="s">
        <v>44</v>
      </c>
      <c r="U203" t="s">
        <v>44</v>
      </c>
      <c r="V203" t="s">
        <v>45</v>
      </c>
      <c r="W203" t="s">
        <v>55</v>
      </c>
      <c r="X203" t="s">
        <v>297</v>
      </c>
      <c r="Z203">
        <v>200</v>
      </c>
      <c r="AA203" t="s">
        <v>44</v>
      </c>
      <c r="AB203">
        <v>0</v>
      </c>
      <c r="AD203">
        <v>2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>
      <c r="A204" t="s">
        <v>519</v>
      </c>
      <c r="B204" t="s">
        <v>518</v>
      </c>
      <c r="D204" t="s">
        <v>37</v>
      </c>
      <c r="F204">
        <v>1</v>
      </c>
      <c r="G204">
        <v>1</v>
      </c>
      <c r="H204" t="s">
        <v>38</v>
      </c>
      <c r="K204">
        <v>12</v>
      </c>
      <c r="L204" t="s">
        <v>58</v>
      </c>
      <c r="M204">
        <v>12</v>
      </c>
      <c r="N204" t="s">
        <v>61</v>
      </c>
      <c r="O204" s="2">
        <v>1200</v>
      </c>
      <c r="P204" t="s">
        <v>41</v>
      </c>
      <c r="Q204" t="s">
        <v>42</v>
      </c>
      <c r="R204" t="s">
        <v>43</v>
      </c>
      <c r="S204" t="s">
        <v>44</v>
      </c>
      <c r="T204" t="s">
        <v>44</v>
      </c>
      <c r="U204" t="s">
        <v>44</v>
      </c>
      <c r="V204" t="s">
        <v>45</v>
      </c>
      <c r="W204" t="s">
        <v>55</v>
      </c>
      <c r="X204" t="s">
        <v>297</v>
      </c>
      <c r="Z204">
        <v>200</v>
      </c>
      <c r="AA204" t="s">
        <v>44</v>
      </c>
      <c r="AB204">
        <v>8</v>
      </c>
      <c r="AD204">
        <v>2</v>
      </c>
      <c r="AE204">
        <v>34.7</v>
      </c>
      <c r="AF204">
        <v>26.5</v>
      </c>
      <c r="AG204">
        <v>17.5</v>
      </c>
      <c r="AH204">
        <v>0.02</v>
      </c>
      <c r="AI204">
        <v>4</v>
      </c>
    </row>
    <row r="205" hidden="1" spans="1:35">
      <c r="A205" t="s">
        <v>520</v>
      </c>
      <c r="B205" t="s">
        <v>521</v>
      </c>
      <c r="D205" t="s">
        <v>37</v>
      </c>
      <c r="F205">
        <v>1</v>
      </c>
      <c r="G205">
        <v>1</v>
      </c>
      <c r="K205">
        <v>1</v>
      </c>
      <c r="L205" t="s">
        <v>53</v>
      </c>
      <c r="M205">
        <v>20</v>
      </c>
      <c r="N205" t="s">
        <v>64</v>
      </c>
      <c r="O205">
        <v>20</v>
      </c>
      <c r="P205" t="s">
        <v>41</v>
      </c>
      <c r="Q205" t="s">
        <v>42</v>
      </c>
      <c r="R205" t="s">
        <v>43</v>
      </c>
      <c r="S205" t="s">
        <v>44</v>
      </c>
      <c r="T205" t="s">
        <v>44</v>
      </c>
      <c r="U205" t="s">
        <v>44</v>
      </c>
      <c r="V205" t="s">
        <v>45</v>
      </c>
      <c r="W205" t="s">
        <v>55</v>
      </c>
      <c r="X205" t="s">
        <v>297</v>
      </c>
      <c r="Z205">
        <v>250</v>
      </c>
      <c r="AA205" t="s">
        <v>44</v>
      </c>
      <c r="AB205">
        <v>0</v>
      </c>
      <c r="AD205">
        <v>2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hidden="1" spans="1:35">
      <c r="A206" t="s">
        <v>522</v>
      </c>
      <c r="B206" t="s">
        <v>523</v>
      </c>
      <c r="D206" t="s">
        <v>37</v>
      </c>
      <c r="F206">
        <v>1</v>
      </c>
      <c r="G206">
        <v>1</v>
      </c>
      <c r="K206">
        <v>1</v>
      </c>
      <c r="L206" t="s">
        <v>53</v>
      </c>
      <c r="M206">
        <v>20</v>
      </c>
      <c r="N206" t="s">
        <v>64</v>
      </c>
      <c r="O206">
        <v>20</v>
      </c>
      <c r="P206" t="s">
        <v>41</v>
      </c>
      <c r="Q206" t="s">
        <v>42</v>
      </c>
      <c r="R206" t="s">
        <v>43</v>
      </c>
      <c r="S206" t="s">
        <v>44</v>
      </c>
      <c r="T206" t="s">
        <v>44</v>
      </c>
      <c r="U206" t="s">
        <v>44</v>
      </c>
      <c r="V206" t="s">
        <v>45</v>
      </c>
      <c r="W206" t="s">
        <v>55</v>
      </c>
      <c r="X206" t="s">
        <v>297</v>
      </c>
      <c r="Z206">
        <v>500</v>
      </c>
      <c r="AA206" t="s">
        <v>43</v>
      </c>
      <c r="AB206">
        <v>0</v>
      </c>
      <c r="AD206">
        <v>2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>
      <c r="A207" t="s">
        <v>524</v>
      </c>
      <c r="B207" t="s">
        <v>523</v>
      </c>
      <c r="D207" t="s">
        <v>37</v>
      </c>
      <c r="F207">
        <v>1</v>
      </c>
      <c r="G207">
        <v>1</v>
      </c>
      <c r="H207" t="s">
        <v>38</v>
      </c>
      <c r="K207">
        <v>26</v>
      </c>
      <c r="L207" t="s">
        <v>53</v>
      </c>
      <c r="M207">
        <v>26</v>
      </c>
      <c r="N207" t="s">
        <v>505</v>
      </c>
      <c r="O207">
        <v>26</v>
      </c>
      <c r="P207" t="s">
        <v>41</v>
      </c>
      <c r="Q207" t="s">
        <v>42</v>
      </c>
      <c r="R207" t="s">
        <v>43</v>
      </c>
      <c r="S207" t="s">
        <v>44</v>
      </c>
      <c r="T207" t="s">
        <v>44</v>
      </c>
      <c r="U207" t="s">
        <v>44</v>
      </c>
      <c r="V207" t="s">
        <v>45</v>
      </c>
      <c r="W207" t="s">
        <v>55</v>
      </c>
      <c r="X207" t="s">
        <v>297</v>
      </c>
      <c r="Z207">
        <v>500</v>
      </c>
      <c r="AA207" t="s">
        <v>44</v>
      </c>
      <c r="AB207">
        <v>1</v>
      </c>
      <c r="AD207">
        <v>2</v>
      </c>
      <c r="AE207">
        <v>53.4</v>
      </c>
      <c r="AF207">
        <v>27.5</v>
      </c>
      <c r="AG207">
        <v>35</v>
      </c>
      <c r="AH207">
        <v>0.05</v>
      </c>
      <c r="AI207">
        <v>14.36</v>
      </c>
    </row>
    <row r="208" spans="1:35">
      <c r="A208" t="s">
        <v>525</v>
      </c>
      <c r="B208" t="s">
        <v>526</v>
      </c>
      <c r="D208" t="s">
        <v>37</v>
      </c>
      <c r="F208">
        <v>1</v>
      </c>
      <c r="G208">
        <v>1</v>
      </c>
      <c r="H208" t="s">
        <v>38</v>
      </c>
      <c r="K208">
        <v>24</v>
      </c>
      <c r="L208" t="s">
        <v>39</v>
      </c>
      <c r="M208">
        <v>24</v>
      </c>
      <c r="N208" t="s">
        <v>40</v>
      </c>
      <c r="O208" s="2">
        <v>2400</v>
      </c>
      <c r="P208" t="s">
        <v>41</v>
      </c>
      <c r="Q208" t="s">
        <v>42</v>
      </c>
      <c r="R208" t="s">
        <v>43</v>
      </c>
      <c r="S208" t="s">
        <v>44</v>
      </c>
      <c r="T208" t="s">
        <v>44</v>
      </c>
      <c r="U208" t="s">
        <v>44</v>
      </c>
      <c r="V208" t="s">
        <v>45</v>
      </c>
      <c r="W208" t="s">
        <v>46</v>
      </c>
      <c r="X208" t="s">
        <v>297</v>
      </c>
      <c r="Z208">
        <v>60</v>
      </c>
      <c r="AA208" t="s">
        <v>44</v>
      </c>
      <c r="AB208">
        <v>15</v>
      </c>
      <c r="AD208">
        <v>2</v>
      </c>
      <c r="AE208">
        <v>34.7</v>
      </c>
      <c r="AF208">
        <v>16.5</v>
      </c>
      <c r="AG208">
        <v>17.53</v>
      </c>
      <c r="AH208">
        <v>0.01</v>
      </c>
      <c r="AI208">
        <v>2.95</v>
      </c>
    </row>
    <row r="209" spans="1:35">
      <c r="A209" t="s">
        <v>527</v>
      </c>
      <c r="B209" t="s">
        <v>528</v>
      </c>
      <c r="D209" t="s">
        <v>37</v>
      </c>
      <c r="F209">
        <v>1</v>
      </c>
      <c r="G209">
        <v>1</v>
      </c>
      <c r="H209" t="s">
        <v>38</v>
      </c>
      <c r="I209">
        <v>12</v>
      </c>
      <c r="J209" t="str">
        <f>IF(OR(ISNUMBER(SEARCH("2Bks",B209)),ISNUMBER(SEARCH("5Bks",B209))),"RencengBNS",IF(ISNUMBER(SEARCH("1Box",B209)),"BoxBNS"," "))</f>
        <v>BoxBNS</v>
      </c>
      <c r="K209">
        <v>2</v>
      </c>
      <c r="L209" t="s">
        <v>39</v>
      </c>
      <c r="M209">
        <v>24</v>
      </c>
      <c r="N209" t="s">
        <v>40</v>
      </c>
      <c r="O209">
        <v>1</v>
      </c>
      <c r="P209" t="s">
        <v>41</v>
      </c>
      <c r="Q209" t="s">
        <v>42</v>
      </c>
      <c r="R209" t="s">
        <v>43</v>
      </c>
      <c r="S209" t="s">
        <v>44</v>
      </c>
      <c r="T209" t="s">
        <v>44</v>
      </c>
      <c r="U209" t="s">
        <v>44</v>
      </c>
      <c r="V209" t="s">
        <v>45</v>
      </c>
      <c r="W209" t="s">
        <v>46</v>
      </c>
      <c r="X209" t="s">
        <v>297</v>
      </c>
      <c r="Z209">
        <v>60</v>
      </c>
      <c r="AA209" t="s">
        <v>44</v>
      </c>
      <c r="AB209">
        <v>0</v>
      </c>
      <c r="AD209">
        <v>2</v>
      </c>
      <c r="AE209">
        <v>34.7</v>
      </c>
      <c r="AF209">
        <v>26.5</v>
      </c>
      <c r="AG209">
        <v>17.5</v>
      </c>
      <c r="AH209">
        <v>0.02</v>
      </c>
      <c r="AI209">
        <v>2.95</v>
      </c>
    </row>
    <row r="210" spans="1:35">
      <c r="A210" t="s">
        <v>529</v>
      </c>
      <c r="B210" t="s">
        <v>530</v>
      </c>
      <c r="D210" t="s">
        <v>37</v>
      </c>
      <c r="F210">
        <v>1</v>
      </c>
      <c r="G210">
        <v>1</v>
      </c>
      <c r="H210" t="s">
        <v>38</v>
      </c>
      <c r="K210">
        <v>20</v>
      </c>
      <c r="L210" t="s">
        <v>39</v>
      </c>
      <c r="M210">
        <v>20</v>
      </c>
      <c r="N210" t="s">
        <v>50</v>
      </c>
      <c r="O210">
        <v>1</v>
      </c>
      <c r="P210" t="s">
        <v>41</v>
      </c>
      <c r="Q210" t="s">
        <v>42</v>
      </c>
      <c r="R210" t="s">
        <v>43</v>
      </c>
      <c r="S210" t="s">
        <v>44</v>
      </c>
      <c r="T210" t="s">
        <v>44</v>
      </c>
      <c r="U210" t="s">
        <v>44</v>
      </c>
      <c r="V210" t="s">
        <v>45</v>
      </c>
      <c r="W210" t="s">
        <v>46</v>
      </c>
      <c r="X210" t="s">
        <v>297</v>
      </c>
      <c r="Z210">
        <v>50</v>
      </c>
      <c r="AA210" t="s">
        <v>44</v>
      </c>
      <c r="AB210">
        <v>0</v>
      </c>
      <c r="AD210">
        <v>2</v>
      </c>
      <c r="AE210">
        <v>28</v>
      </c>
      <c r="AF210">
        <v>21.4</v>
      </c>
      <c r="AG210">
        <v>27.4</v>
      </c>
      <c r="AH210">
        <v>0.02</v>
      </c>
      <c r="AI210">
        <v>2.09</v>
      </c>
    </row>
    <row r="211" hidden="1" spans="1:35">
      <c r="A211" t="s">
        <v>531</v>
      </c>
      <c r="B211" t="s">
        <v>532</v>
      </c>
      <c r="D211" t="s">
        <v>37</v>
      </c>
      <c r="F211">
        <v>1</v>
      </c>
      <c r="G211">
        <v>1</v>
      </c>
      <c r="K211">
        <v>1</v>
      </c>
      <c r="L211" t="s">
        <v>58</v>
      </c>
      <c r="M211">
        <v>36</v>
      </c>
      <c r="N211" t="s">
        <v>59</v>
      </c>
      <c r="O211">
        <v>1</v>
      </c>
      <c r="P211" t="s">
        <v>41</v>
      </c>
      <c r="Q211" t="s">
        <v>42</v>
      </c>
      <c r="R211" t="s">
        <v>43</v>
      </c>
      <c r="S211" t="s">
        <v>44</v>
      </c>
      <c r="T211" t="s">
        <v>44</v>
      </c>
      <c r="U211" t="s">
        <v>44</v>
      </c>
      <c r="V211" t="s">
        <v>45</v>
      </c>
      <c r="W211" t="s">
        <v>55</v>
      </c>
      <c r="X211" t="s">
        <v>297</v>
      </c>
      <c r="Z211">
        <v>200</v>
      </c>
      <c r="AA211" t="s">
        <v>43</v>
      </c>
      <c r="AB211">
        <v>0</v>
      </c>
      <c r="AD211">
        <v>2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>
      <c r="A212" t="s">
        <v>533</v>
      </c>
      <c r="B212" t="s">
        <v>532</v>
      </c>
      <c r="D212" t="s">
        <v>37</v>
      </c>
      <c r="F212">
        <v>1</v>
      </c>
      <c r="G212">
        <v>1</v>
      </c>
      <c r="H212" t="s">
        <v>38</v>
      </c>
      <c r="K212">
        <v>12</v>
      </c>
      <c r="L212" t="s">
        <v>58</v>
      </c>
      <c r="M212">
        <v>12</v>
      </c>
      <c r="N212" t="s">
        <v>61</v>
      </c>
      <c r="O212">
        <v>1</v>
      </c>
      <c r="P212" t="s">
        <v>41</v>
      </c>
      <c r="Q212" t="s">
        <v>42</v>
      </c>
      <c r="R212" t="s">
        <v>43</v>
      </c>
      <c r="S212" t="s">
        <v>44</v>
      </c>
      <c r="T212" t="s">
        <v>44</v>
      </c>
      <c r="U212" t="s">
        <v>44</v>
      </c>
      <c r="V212" t="s">
        <v>45</v>
      </c>
      <c r="W212" t="s">
        <v>46</v>
      </c>
      <c r="X212" t="s">
        <v>297</v>
      </c>
      <c r="Z212">
        <v>200</v>
      </c>
      <c r="AA212" t="s">
        <v>44</v>
      </c>
      <c r="AB212">
        <v>0</v>
      </c>
      <c r="AD212">
        <v>2</v>
      </c>
      <c r="AE212">
        <v>34.7</v>
      </c>
      <c r="AF212">
        <v>26.5</v>
      </c>
      <c r="AG212">
        <v>17.5</v>
      </c>
      <c r="AH212">
        <v>0.02</v>
      </c>
      <c r="AI212">
        <v>4</v>
      </c>
    </row>
    <row r="213" hidden="1" spans="1:35">
      <c r="A213" t="s">
        <v>534</v>
      </c>
      <c r="B213" t="s">
        <v>535</v>
      </c>
      <c r="D213" t="s">
        <v>37</v>
      </c>
      <c r="F213">
        <v>1</v>
      </c>
      <c r="G213">
        <v>1</v>
      </c>
      <c r="K213">
        <v>1</v>
      </c>
      <c r="L213" t="s">
        <v>53</v>
      </c>
      <c r="M213">
        <v>20</v>
      </c>
      <c r="N213" t="s">
        <v>64</v>
      </c>
      <c r="O213">
        <v>1</v>
      </c>
      <c r="P213" t="s">
        <v>41</v>
      </c>
      <c r="Q213" t="s">
        <v>42</v>
      </c>
      <c r="R213" t="s">
        <v>43</v>
      </c>
      <c r="S213" t="s">
        <v>44</v>
      </c>
      <c r="T213" t="s">
        <v>44</v>
      </c>
      <c r="U213" t="s">
        <v>44</v>
      </c>
      <c r="V213" t="s">
        <v>45</v>
      </c>
      <c r="W213" t="s">
        <v>55</v>
      </c>
      <c r="X213" t="s">
        <v>297</v>
      </c>
      <c r="Z213">
        <v>250</v>
      </c>
      <c r="AA213" t="s">
        <v>44</v>
      </c>
      <c r="AB213">
        <v>0</v>
      </c>
      <c r="AD213">
        <v>2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hidden="1" spans="1:35">
      <c r="A214" t="s">
        <v>536</v>
      </c>
      <c r="B214" t="s">
        <v>537</v>
      </c>
      <c r="D214" t="s">
        <v>37</v>
      </c>
      <c r="F214">
        <v>1</v>
      </c>
      <c r="G214">
        <v>1</v>
      </c>
      <c r="K214">
        <v>1</v>
      </c>
      <c r="L214" t="s">
        <v>53</v>
      </c>
      <c r="M214">
        <v>10</v>
      </c>
      <c r="N214" t="s">
        <v>54</v>
      </c>
      <c r="O214">
        <v>10</v>
      </c>
      <c r="P214" t="s">
        <v>41</v>
      </c>
      <c r="Q214" t="s">
        <v>42</v>
      </c>
      <c r="R214" t="s">
        <v>43</v>
      </c>
      <c r="S214" t="s">
        <v>44</v>
      </c>
      <c r="T214" t="s">
        <v>44</v>
      </c>
      <c r="U214" t="s">
        <v>44</v>
      </c>
      <c r="V214" t="s">
        <v>45</v>
      </c>
      <c r="W214" t="s">
        <v>55</v>
      </c>
      <c r="X214" t="s">
        <v>297</v>
      </c>
      <c r="Z214" s="2">
        <v>1000</v>
      </c>
      <c r="AA214" t="s">
        <v>43</v>
      </c>
      <c r="AB214">
        <v>0</v>
      </c>
      <c r="AD214">
        <v>2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>
      <c r="A215" t="s">
        <v>538</v>
      </c>
      <c r="B215" t="s">
        <v>537</v>
      </c>
      <c r="D215" t="s">
        <v>37</v>
      </c>
      <c r="F215">
        <v>1</v>
      </c>
      <c r="G215">
        <v>1</v>
      </c>
      <c r="H215" t="s">
        <v>38</v>
      </c>
      <c r="K215">
        <v>15</v>
      </c>
      <c r="L215" t="s">
        <v>53</v>
      </c>
      <c r="M215">
        <v>15</v>
      </c>
      <c r="N215" t="s">
        <v>498</v>
      </c>
      <c r="O215">
        <v>15</v>
      </c>
      <c r="P215" t="s">
        <v>41</v>
      </c>
      <c r="Q215" t="s">
        <v>42</v>
      </c>
      <c r="R215" t="s">
        <v>43</v>
      </c>
      <c r="S215" t="s">
        <v>44</v>
      </c>
      <c r="T215" t="s">
        <v>44</v>
      </c>
      <c r="U215" t="s">
        <v>44</v>
      </c>
      <c r="V215" t="s">
        <v>45</v>
      </c>
      <c r="W215" t="s">
        <v>55</v>
      </c>
      <c r="X215" t="s">
        <v>297</v>
      </c>
      <c r="Z215" s="2">
        <v>1000</v>
      </c>
      <c r="AA215" t="s">
        <v>44</v>
      </c>
      <c r="AB215">
        <v>2</v>
      </c>
      <c r="AD215">
        <v>2</v>
      </c>
      <c r="AE215">
        <v>53.4</v>
      </c>
      <c r="AF215">
        <v>27.5</v>
      </c>
      <c r="AG215">
        <v>35</v>
      </c>
      <c r="AH215">
        <v>0.05</v>
      </c>
      <c r="AI215">
        <v>16.28</v>
      </c>
    </row>
    <row r="216" hidden="1" spans="1:35">
      <c r="A216" t="s">
        <v>539</v>
      </c>
      <c r="B216" t="s">
        <v>540</v>
      </c>
      <c r="D216" t="s">
        <v>37</v>
      </c>
      <c r="F216">
        <v>1</v>
      </c>
      <c r="G216">
        <v>1</v>
      </c>
      <c r="K216">
        <v>1</v>
      </c>
      <c r="L216" t="s">
        <v>58</v>
      </c>
      <c r="M216">
        <v>36</v>
      </c>
      <c r="N216" t="s">
        <v>59</v>
      </c>
      <c r="O216" s="2">
        <v>3600</v>
      </c>
      <c r="P216" t="s">
        <v>41</v>
      </c>
      <c r="Q216" t="s">
        <v>42</v>
      </c>
      <c r="R216" t="s">
        <v>43</v>
      </c>
      <c r="S216" t="s">
        <v>44</v>
      </c>
      <c r="T216" t="s">
        <v>44</v>
      </c>
      <c r="U216" t="s">
        <v>44</v>
      </c>
      <c r="V216" t="s">
        <v>45</v>
      </c>
      <c r="W216" t="s">
        <v>55</v>
      </c>
      <c r="X216" t="s">
        <v>297</v>
      </c>
      <c r="Z216">
        <v>200</v>
      </c>
      <c r="AA216" t="s">
        <v>44</v>
      </c>
      <c r="AB216">
        <v>0</v>
      </c>
      <c r="AD216">
        <v>2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>
      <c r="A217" t="s">
        <v>541</v>
      </c>
      <c r="B217" t="s">
        <v>540</v>
      </c>
      <c r="D217" t="s">
        <v>37</v>
      </c>
      <c r="F217">
        <v>1</v>
      </c>
      <c r="G217">
        <v>1</v>
      </c>
      <c r="H217" t="s">
        <v>38</v>
      </c>
      <c r="K217">
        <v>12</v>
      </c>
      <c r="L217" t="s">
        <v>58</v>
      </c>
      <c r="M217">
        <v>12</v>
      </c>
      <c r="N217" t="s">
        <v>61</v>
      </c>
      <c r="O217" s="2">
        <v>1200</v>
      </c>
      <c r="P217" t="s">
        <v>41</v>
      </c>
      <c r="Q217" t="s">
        <v>42</v>
      </c>
      <c r="R217" t="s">
        <v>43</v>
      </c>
      <c r="S217" t="s">
        <v>44</v>
      </c>
      <c r="T217" t="s">
        <v>44</v>
      </c>
      <c r="U217" t="s">
        <v>44</v>
      </c>
      <c r="V217" t="s">
        <v>45</v>
      </c>
      <c r="W217" t="s">
        <v>55</v>
      </c>
      <c r="X217" t="s">
        <v>297</v>
      </c>
      <c r="Z217">
        <v>200</v>
      </c>
      <c r="AA217" t="s">
        <v>44</v>
      </c>
      <c r="AB217">
        <v>17</v>
      </c>
      <c r="AD217">
        <v>2</v>
      </c>
      <c r="AE217">
        <v>34.7</v>
      </c>
      <c r="AF217">
        <v>26.5</v>
      </c>
      <c r="AG217">
        <v>17.5</v>
      </c>
      <c r="AH217">
        <v>0.02</v>
      </c>
      <c r="AI217">
        <v>4</v>
      </c>
    </row>
    <row r="218" hidden="1" spans="1:35">
      <c r="A218" t="s">
        <v>542</v>
      </c>
      <c r="B218" t="s">
        <v>543</v>
      </c>
      <c r="D218" t="s">
        <v>37</v>
      </c>
      <c r="F218">
        <v>1</v>
      </c>
      <c r="G218">
        <v>1</v>
      </c>
      <c r="K218">
        <v>1</v>
      </c>
      <c r="L218" t="s">
        <v>53</v>
      </c>
      <c r="M218">
        <v>20</v>
      </c>
      <c r="N218" t="s">
        <v>64</v>
      </c>
      <c r="O218">
        <v>20</v>
      </c>
      <c r="P218" t="s">
        <v>41</v>
      </c>
      <c r="Q218" t="s">
        <v>42</v>
      </c>
      <c r="R218" t="s">
        <v>43</v>
      </c>
      <c r="S218" t="s">
        <v>44</v>
      </c>
      <c r="T218" t="s">
        <v>44</v>
      </c>
      <c r="U218" t="s">
        <v>44</v>
      </c>
      <c r="V218" t="s">
        <v>45</v>
      </c>
      <c r="W218" t="s">
        <v>55</v>
      </c>
      <c r="X218" t="s">
        <v>297</v>
      </c>
      <c r="Z218">
        <v>250</v>
      </c>
      <c r="AA218" t="s">
        <v>44</v>
      </c>
      <c r="AB218">
        <v>0</v>
      </c>
      <c r="AD218">
        <v>2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hidden="1" spans="1:35">
      <c r="A219" t="s">
        <v>544</v>
      </c>
      <c r="B219" t="s">
        <v>545</v>
      </c>
      <c r="D219" t="s">
        <v>37</v>
      </c>
      <c r="F219">
        <v>1</v>
      </c>
      <c r="G219">
        <v>1</v>
      </c>
      <c r="K219">
        <v>1</v>
      </c>
      <c r="L219" t="s">
        <v>53</v>
      </c>
      <c r="M219">
        <v>20</v>
      </c>
      <c r="N219" t="s">
        <v>64</v>
      </c>
      <c r="O219">
        <v>20</v>
      </c>
      <c r="P219" t="s">
        <v>41</v>
      </c>
      <c r="Q219" t="s">
        <v>42</v>
      </c>
      <c r="R219" t="s">
        <v>43</v>
      </c>
      <c r="S219" t="s">
        <v>44</v>
      </c>
      <c r="T219" t="s">
        <v>44</v>
      </c>
      <c r="U219" t="s">
        <v>44</v>
      </c>
      <c r="V219" t="s">
        <v>45</v>
      </c>
      <c r="W219" t="s">
        <v>55</v>
      </c>
      <c r="X219" t="s">
        <v>297</v>
      </c>
      <c r="Z219">
        <v>500</v>
      </c>
      <c r="AA219" t="s">
        <v>43</v>
      </c>
      <c r="AB219">
        <v>0</v>
      </c>
      <c r="AD219">
        <v>2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>
      <c r="A220" t="s">
        <v>546</v>
      </c>
      <c r="B220" t="s">
        <v>545</v>
      </c>
      <c r="D220" t="s">
        <v>37</v>
      </c>
      <c r="F220">
        <v>1</v>
      </c>
      <c r="G220">
        <v>1</v>
      </c>
      <c r="H220" t="s">
        <v>38</v>
      </c>
      <c r="K220">
        <v>26</v>
      </c>
      <c r="L220" t="s">
        <v>53</v>
      </c>
      <c r="M220">
        <v>26</v>
      </c>
      <c r="N220" t="s">
        <v>505</v>
      </c>
      <c r="O220">
        <v>26</v>
      </c>
      <c r="P220" t="s">
        <v>41</v>
      </c>
      <c r="Q220" t="s">
        <v>42</v>
      </c>
      <c r="R220" t="s">
        <v>43</v>
      </c>
      <c r="S220" t="s">
        <v>44</v>
      </c>
      <c r="T220" t="s">
        <v>44</v>
      </c>
      <c r="U220" t="s">
        <v>44</v>
      </c>
      <c r="V220" t="s">
        <v>45</v>
      </c>
      <c r="W220" t="s">
        <v>55</v>
      </c>
      <c r="X220" t="s">
        <v>297</v>
      </c>
      <c r="Z220">
        <v>500</v>
      </c>
      <c r="AA220" t="s">
        <v>44</v>
      </c>
      <c r="AB220">
        <v>0</v>
      </c>
      <c r="AD220">
        <v>2</v>
      </c>
      <c r="AE220">
        <v>53.4</v>
      </c>
      <c r="AF220">
        <v>27.5</v>
      </c>
      <c r="AG220">
        <v>35</v>
      </c>
      <c r="AH220">
        <v>0.05</v>
      </c>
      <c r="AI220">
        <v>14.36</v>
      </c>
    </row>
    <row r="221" spans="1:35">
      <c r="A221" t="s">
        <v>547</v>
      </c>
      <c r="B221" t="s">
        <v>548</v>
      </c>
      <c r="D221" t="s">
        <v>37</v>
      </c>
      <c r="F221">
        <v>1</v>
      </c>
      <c r="G221">
        <v>1</v>
      </c>
      <c r="H221" t="s">
        <v>38</v>
      </c>
      <c r="K221">
        <v>24</v>
      </c>
      <c r="L221" t="s">
        <v>39</v>
      </c>
      <c r="M221">
        <v>24</v>
      </c>
      <c r="N221" t="s">
        <v>40</v>
      </c>
      <c r="O221" s="2">
        <v>2400</v>
      </c>
      <c r="P221" t="s">
        <v>41</v>
      </c>
      <c r="Q221" t="s">
        <v>42</v>
      </c>
      <c r="R221" t="s">
        <v>43</v>
      </c>
      <c r="S221" t="s">
        <v>44</v>
      </c>
      <c r="T221" t="s">
        <v>44</v>
      </c>
      <c r="U221" t="s">
        <v>44</v>
      </c>
      <c r="V221" t="s">
        <v>45</v>
      </c>
      <c r="W221" t="s">
        <v>46</v>
      </c>
      <c r="X221" t="s">
        <v>297</v>
      </c>
      <c r="Z221">
        <v>60</v>
      </c>
      <c r="AA221" t="s">
        <v>44</v>
      </c>
      <c r="AB221">
        <v>15</v>
      </c>
      <c r="AD221">
        <v>2</v>
      </c>
      <c r="AE221">
        <v>34.7</v>
      </c>
      <c r="AF221">
        <v>26.5</v>
      </c>
      <c r="AG221">
        <v>17.5</v>
      </c>
      <c r="AH221">
        <v>0.02</v>
      </c>
      <c r="AI221">
        <v>2.95</v>
      </c>
    </row>
    <row r="222" spans="1:35">
      <c r="A222" t="s">
        <v>549</v>
      </c>
      <c r="B222" t="s">
        <v>550</v>
      </c>
      <c r="D222" t="s">
        <v>37</v>
      </c>
      <c r="F222">
        <v>1</v>
      </c>
      <c r="G222">
        <v>1</v>
      </c>
      <c r="H222" t="s">
        <v>38</v>
      </c>
      <c r="I222">
        <v>12</v>
      </c>
      <c r="J222" t="str">
        <f>IF(OR(ISNUMBER(SEARCH("2Bks",B222)),ISNUMBER(SEARCH("5Bks",B222))),"RencengBNS",IF(ISNUMBER(SEARCH("1Box",B222)),"BoxBNS"," "))</f>
        <v>BoxBNS</v>
      </c>
      <c r="K222">
        <v>2</v>
      </c>
      <c r="L222" t="s">
        <v>39</v>
      </c>
      <c r="M222">
        <v>24</v>
      </c>
      <c r="N222" t="s">
        <v>40</v>
      </c>
      <c r="O222">
        <v>1</v>
      </c>
      <c r="P222" t="s">
        <v>41</v>
      </c>
      <c r="Q222" t="s">
        <v>42</v>
      </c>
      <c r="R222" t="s">
        <v>43</v>
      </c>
      <c r="S222" t="s">
        <v>44</v>
      </c>
      <c r="T222" t="s">
        <v>44</v>
      </c>
      <c r="U222" t="s">
        <v>44</v>
      </c>
      <c r="V222" t="s">
        <v>45</v>
      </c>
      <c r="W222" t="s">
        <v>46</v>
      </c>
      <c r="X222" t="s">
        <v>297</v>
      </c>
      <c r="Z222">
        <v>60</v>
      </c>
      <c r="AA222" t="s">
        <v>44</v>
      </c>
      <c r="AB222">
        <v>0</v>
      </c>
      <c r="AD222">
        <v>2</v>
      </c>
      <c r="AE222">
        <v>34.7</v>
      </c>
      <c r="AF222">
        <v>26.5</v>
      </c>
      <c r="AG222">
        <v>17.5</v>
      </c>
      <c r="AH222">
        <v>0.02</v>
      </c>
      <c r="AI222">
        <v>2.95</v>
      </c>
    </row>
    <row r="223" spans="1:35">
      <c r="A223" t="s">
        <v>551</v>
      </c>
      <c r="B223" t="s">
        <v>552</v>
      </c>
      <c r="D223" t="s">
        <v>37</v>
      </c>
      <c r="F223">
        <v>1</v>
      </c>
      <c r="G223">
        <v>1</v>
      </c>
      <c r="H223" t="s">
        <v>38</v>
      </c>
      <c r="K223">
        <v>20</v>
      </c>
      <c r="L223" t="s">
        <v>39</v>
      </c>
      <c r="M223">
        <v>20</v>
      </c>
      <c r="N223" t="s">
        <v>50</v>
      </c>
      <c r="O223">
        <v>1</v>
      </c>
      <c r="P223" t="s">
        <v>41</v>
      </c>
      <c r="Q223" t="s">
        <v>42</v>
      </c>
      <c r="R223" t="s">
        <v>43</v>
      </c>
      <c r="S223" t="s">
        <v>44</v>
      </c>
      <c r="T223" t="s">
        <v>44</v>
      </c>
      <c r="U223" t="s">
        <v>44</v>
      </c>
      <c r="V223" t="s">
        <v>45</v>
      </c>
      <c r="W223" t="s">
        <v>46</v>
      </c>
      <c r="X223" t="s">
        <v>297</v>
      </c>
      <c r="Z223">
        <v>50</v>
      </c>
      <c r="AA223" t="s">
        <v>44</v>
      </c>
      <c r="AB223">
        <v>0</v>
      </c>
      <c r="AD223">
        <v>2</v>
      </c>
      <c r="AE223">
        <v>28</v>
      </c>
      <c r="AF223">
        <v>21.4</v>
      </c>
      <c r="AG223">
        <v>27.4</v>
      </c>
      <c r="AH223">
        <v>0.02</v>
      </c>
      <c r="AI223">
        <v>2.09</v>
      </c>
    </row>
    <row r="224" spans="1:35">
      <c r="A224" t="s">
        <v>553</v>
      </c>
      <c r="B224" t="s">
        <v>554</v>
      </c>
      <c r="D224" t="s">
        <v>37</v>
      </c>
      <c r="F224">
        <v>1</v>
      </c>
      <c r="G224">
        <v>1</v>
      </c>
      <c r="H224" t="s">
        <v>38</v>
      </c>
      <c r="K224">
        <v>12</v>
      </c>
      <c r="L224" t="s">
        <v>58</v>
      </c>
      <c r="M224">
        <v>12</v>
      </c>
      <c r="N224" t="s">
        <v>61</v>
      </c>
      <c r="O224">
        <v>1</v>
      </c>
      <c r="P224" t="s">
        <v>41</v>
      </c>
      <c r="Q224" t="s">
        <v>42</v>
      </c>
      <c r="R224" t="s">
        <v>43</v>
      </c>
      <c r="S224" t="s">
        <v>44</v>
      </c>
      <c r="T224" t="s">
        <v>44</v>
      </c>
      <c r="U224" t="s">
        <v>44</v>
      </c>
      <c r="V224" t="s">
        <v>45</v>
      </c>
      <c r="W224" t="s">
        <v>46</v>
      </c>
      <c r="X224" t="s">
        <v>297</v>
      </c>
      <c r="Z224">
        <v>200</v>
      </c>
      <c r="AA224" t="s">
        <v>44</v>
      </c>
      <c r="AB224">
        <v>0</v>
      </c>
      <c r="AD224">
        <v>2</v>
      </c>
      <c r="AE224">
        <v>34.7</v>
      </c>
      <c r="AF224">
        <v>26.5</v>
      </c>
      <c r="AG224">
        <v>17.5</v>
      </c>
      <c r="AH224">
        <v>0.02</v>
      </c>
      <c r="AI224">
        <v>4</v>
      </c>
    </row>
    <row r="225" hidden="1" spans="1:35">
      <c r="A225" t="s">
        <v>555</v>
      </c>
      <c r="B225" t="s">
        <v>556</v>
      </c>
      <c r="D225" t="s">
        <v>37</v>
      </c>
      <c r="F225">
        <v>1</v>
      </c>
      <c r="G225">
        <v>1</v>
      </c>
      <c r="K225">
        <v>1</v>
      </c>
      <c r="L225" t="s">
        <v>53</v>
      </c>
      <c r="M225">
        <v>20</v>
      </c>
      <c r="N225" t="s">
        <v>64</v>
      </c>
      <c r="O225">
        <v>1</v>
      </c>
      <c r="P225" t="s">
        <v>41</v>
      </c>
      <c r="Q225" t="s">
        <v>42</v>
      </c>
      <c r="R225" t="s">
        <v>43</v>
      </c>
      <c r="S225" t="s">
        <v>44</v>
      </c>
      <c r="T225" t="s">
        <v>44</v>
      </c>
      <c r="U225" t="s">
        <v>44</v>
      </c>
      <c r="V225" t="s">
        <v>45</v>
      </c>
      <c r="W225" t="s">
        <v>55</v>
      </c>
      <c r="X225" t="s">
        <v>297</v>
      </c>
      <c r="Z225">
        <v>250</v>
      </c>
      <c r="AA225" t="s">
        <v>44</v>
      </c>
      <c r="AB225">
        <v>0</v>
      </c>
      <c r="AD225">
        <v>2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hidden="1" spans="1:35">
      <c r="A226" t="s">
        <v>557</v>
      </c>
      <c r="B226" t="s">
        <v>558</v>
      </c>
      <c r="D226" t="s">
        <v>37</v>
      </c>
      <c r="F226">
        <v>1</v>
      </c>
      <c r="G226">
        <v>1</v>
      </c>
      <c r="K226">
        <v>1</v>
      </c>
      <c r="L226" t="s">
        <v>53</v>
      </c>
      <c r="M226">
        <v>10</v>
      </c>
      <c r="N226" t="s">
        <v>54</v>
      </c>
      <c r="O226">
        <v>10</v>
      </c>
      <c r="P226" t="s">
        <v>41</v>
      </c>
      <c r="Q226" t="s">
        <v>42</v>
      </c>
      <c r="R226" t="s">
        <v>43</v>
      </c>
      <c r="S226" t="s">
        <v>44</v>
      </c>
      <c r="T226" t="s">
        <v>44</v>
      </c>
      <c r="U226" t="s">
        <v>44</v>
      </c>
      <c r="V226" t="s">
        <v>45</v>
      </c>
      <c r="W226" t="s">
        <v>55</v>
      </c>
      <c r="X226" t="s">
        <v>297</v>
      </c>
      <c r="Z226" s="2">
        <v>1000</v>
      </c>
      <c r="AA226" t="s">
        <v>43</v>
      </c>
      <c r="AB226">
        <v>0</v>
      </c>
      <c r="AD226">
        <v>2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>
      <c r="A227" t="s">
        <v>559</v>
      </c>
      <c r="B227" t="s">
        <v>558</v>
      </c>
      <c r="D227" t="s">
        <v>37</v>
      </c>
      <c r="F227">
        <v>1</v>
      </c>
      <c r="G227">
        <v>1</v>
      </c>
      <c r="H227" t="s">
        <v>38</v>
      </c>
      <c r="K227">
        <v>15</v>
      </c>
      <c r="L227" t="s">
        <v>53</v>
      </c>
      <c r="M227">
        <v>15</v>
      </c>
      <c r="N227" t="s">
        <v>498</v>
      </c>
      <c r="O227">
        <v>15</v>
      </c>
      <c r="P227" t="s">
        <v>41</v>
      </c>
      <c r="Q227" t="s">
        <v>42</v>
      </c>
      <c r="R227" t="s">
        <v>43</v>
      </c>
      <c r="S227" t="s">
        <v>44</v>
      </c>
      <c r="T227" t="s">
        <v>44</v>
      </c>
      <c r="U227" t="s">
        <v>44</v>
      </c>
      <c r="V227" t="s">
        <v>45</v>
      </c>
      <c r="W227" t="s">
        <v>55</v>
      </c>
      <c r="X227" t="s">
        <v>297</v>
      </c>
      <c r="Z227" s="2">
        <v>1000</v>
      </c>
      <c r="AA227" t="s">
        <v>44</v>
      </c>
      <c r="AB227">
        <v>23</v>
      </c>
      <c r="AD227">
        <v>2</v>
      </c>
      <c r="AE227">
        <v>53.4</v>
      </c>
      <c r="AF227">
        <v>27.5</v>
      </c>
      <c r="AG227">
        <v>35</v>
      </c>
      <c r="AH227">
        <v>0.05</v>
      </c>
      <c r="AI227">
        <v>16.28</v>
      </c>
    </row>
    <row r="228" hidden="1" spans="1:35">
      <c r="A228" t="s">
        <v>560</v>
      </c>
      <c r="B228" t="s">
        <v>561</v>
      </c>
      <c r="D228" t="s">
        <v>37</v>
      </c>
      <c r="F228">
        <v>1</v>
      </c>
      <c r="G228">
        <v>1</v>
      </c>
      <c r="K228">
        <v>1</v>
      </c>
      <c r="L228" t="s">
        <v>58</v>
      </c>
      <c r="M228">
        <v>36</v>
      </c>
      <c r="N228" t="s">
        <v>59</v>
      </c>
      <c r="O228" s="2">
        <v>3600</v>
      </c>
      <c r="P228" t="s">
        <v>41</v>
      </c>
      <c r="Q228" t="s">
        <v>42</v>
      </c>
      <c r="R228" t="s">
        <v>43</v>
      </c>
      <c r="S228" t="s">
        <v>44</v>
      </c>
      <c r="T228" t="s">
        <v>44</v>
      </c>
      <c r="U228" t="s">
        <v>44</v>
      </c>
      <c r="V228" t="s">
        <v>45</v>
      </c>
      <c r="W228" t="s">
        <v>55</v>
      </c>
      <c r="X228" t="s">
        <v>297</v>
      </c>
      <c r="Z228">
        <v>200</v>
      </c>
      <c r="AA228" t="s">
        <v>44</v>
      </c>
      <c r="AB228">
        <v>0</v>
      </c>
      <c r="AD228">
        <v>2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>
      <c r="A229" t="s">
        <v>562</v>
      </c>
      <c r="B229" t="s">
        <v>561</v>
      </c>
      <c r="D229" t="s">
        <v>37</v>
      </c>
      <c r="F229">
        <v>1</v>
      </c>
      <c r="G229">
        <v>1</v>
      </c>
      <c r="H229" t="s">
        <v>38</v>
      </c>
      <c r="K229">
        <v>12</v>
      </c>
      <c r="L229" t="s">
        <v>58</v>
      </c>
      <c r="M229">
        <v>12</v>
      </c>
      <c r="N229" t="s">
        <v>61</v>
      </c>
      <c r="O229" s="2">
        <v>1200</v>
      </c>
      <c r="P229" t="s">
        <v>41</v>
      </c>
      <c r="Q229" t="s">
        <v>42</v>
      </c>
      <c r="R229" t="s">
        <v>43</v>
      </c>
      <c r="S229" t="s">
        <v>44</v>
      </c>
      <c r="T229" t="s">
        <v>44</v>
      </c>
      <c r="U229" t="s">
        <v>44</v>
      </c>
      <c r="V229" t="s">
        <v>45</v>
      </c>
      <c r="W229" t="s">
        <v>55</v>
      </c>
      <c r="X229" t="s">
        <v>297</v>
      </c>
      <c r="Z229">
        <v>200</v>
      </c>
      <c r="AA229" t="s">
        <v>44</v>
      </c>
      <c r="AB229">
        <v>8</v>
      </c>
      <c r="AD229">
        <v>2</v>
      </c>
      <c r="AE229">
        <v>34.7</v>
      </c>
      <c r="AF229">
        <v>26.5</v>
      </c>
      <c r="AG229">
        <v>17.5</v>
      </c>
      <c r="AH229">
        <v>0.02</v>
      </c>
      <c r="AI229">
        <v>4</v>
      </c>
    </row>
    <row r="230" hidden="1" spans="1:35">
      <c r="A230" t="s">
        <v>563</v>
      </c>
      <c r="B230" t="s">
        <v>564</v>
      </c>
      <c r="D230" t="s">
        <v>37</v>
      </c>
      <c r="F230">
        <v>1</v>
      </c>
      <c r="G230">
        <v>1</v>
      </c>
      <c r="K230">
        <v>1</v>
      </c>
      <c r="L230" t="s">
        <v>53</v>
      </c>
      <c r="M230">
        <v>20</v>
      </c>
      <c r="N230" t="s">
        <v>64</v>
      </c>
      <c r="O230">
        <v>20</v>
      </c>
      <c r="P230" t="s">
        <v>41</v>
      </c>
      <c r="Q230" t="s">
        <v>42</v>
      </c>
      <c r="R230" t="s">
        <v>43</v>
      </c>
      <c r="S230" t="s">
        <v>44</v>
      </c>
      <c r="T230" t="s">
        <v>44</v>
      </c>
      <c r="U230" t="s">
        <v>44</v>
      </c>
      <c r="V230" t="s">
        <v>45</v>
      </c>
      <c r="W230" t="s">
        <v>55</v>
      </c>
      <c r="X230" t="s">
        <v>297</v>
      </c>
      <c r="Z230">
        <v>250</v>
      </c>
      <c r="AA230" t="s">
        <v>44</v>
      </c>
      <c r="AB230">
        <v>0</v>
      </c>
      <c r="AD230">
        <v>2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hidden="1" spans="1:35">
      <c r="A231" t="s">
        <v>565</v>
      </c>
      <c r="B231" t="s">
        <v>566</v>
      </c>
      <c r="D231" t="s">
        <v>37</v>
      </c>
      <c r="F231">
        <v>1</v>
      </c>
      <c r="G231">
        <v>1</v>
      </c>
      <c r="K231">
        <v>1</v>
      </c>
      <c r="L231" t="s">
        <v>53</v>
      </c>
      <c r="M231">
        <v>20</v>
      </c>
      <c r="N231" t="s">
        <v>64</v>
      </c>
      <c r="O231">
        <v>20</v>
      </c>
      <c r="P231" t="s">
        <v>41</v>
      </c>
      <c r="Q231" t="s">
        <v>42</v>
      </c>
      <c r="R231" t="s">
        <v>43</v>
      </c>
      <c r="S231" t="s">
        <v>44</v>
      </c>
      <c r="T231" t="s">
        <v>44</v>
      </c>
      <c r="U231" t="s">
        <v>44</v>
      </c>
      <c r="V231" t="s">
        <v>45</v>
      </c>
      <c r="W231" t="s">
        <v>55</v>
      </c>
      <c r="X231" t="s">
        <v>297</v>
      </c>
      <c r="Z231">
        <v>500</v>
      </c>
      <c r="AA231" t="s">
        <v>43</v>
      </c>
      <c r="AB231">
        <v>0</v>
      </c>
      <c r="AD231">
        <v>2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>
      <c r="A232" t="s">
        <v>567</v>
      </c>
      <c r="B232" t="s">
        <v>566</v>
      </c>
      <c r="D232" t="s">
        <v>37</v>
      </c>
      <c r="F232">
        <v>1</v>
      </c>
      <c r="G232">
        <v>1</v>
      </c>
      <c r="H232" t="s">
        <v>38</v>
      </c>
      <c r="K232">
        <v>26</v>
      </c>
      <c r="L232" t="s">
        <v>53</v>
      </c>
      <c r="M232">
        <v>26</v>
      </c>
      <c r="N232" t="s">
        <v>505</v>
      </c>
      <c r="O232">
        <v>26</v>
      </c>
      <c r="P232" t="s">
        <v>41</v>
      </c>
      <c r="Q232" t="s">
        <v>42</v>
      </c>
      <c r="R232" t="s">
        <v>43</v>
      </c>
      <c r="S232" t="s">
        <v>44</v>
      </c>
      <c r="T232" t="s">
        <v>44</v>
      </c>
      <c r="U232" t="s">
        <v>44</v>
      </c>
      <c r="V232" t="s">
        <v>45</v>
      </c>
      <c r="W232" t="s">
        <v>55</v>
      </c>
      <c r="X232" t="s">
        <v>297</v>
      </c>
      <c r="Z232">
        <v>500</v>
      </c>
      <c r="AA232" t="s">
        <v>44</v>
      </c>
      <c r="AB232">
        <v>1</v>
      </c>
      <c r="AD232">
        <v>2</v>
      </c>
      <c r="AE232">
        <v>53.4</v>
      </c>
      <c r="AF232">
        <v>27.5</v>
      </c>
      <c r="AG232">
        <v>35</v>
      </c>
      <c r="AH232">
        <v>0.05</v>
      </c>
      <c r="AI232">
        <v>14.36</v>
      </c>
    </row>
    <row r="233" spans="1:35">
      <c r="A233" t="s">
        <v>568</v>
      </c>
      <c r="B233" t="s">
        <v>569</v>
      </c>
      <c r="D233" t="s">
        <v>37</v>
      </c>
      <c r="F233">
        <v>1</v>
      </c>
      <c r="G233">
        <v>1</v>
      </c>
      <c r="H233" t="s">
        <v>38</v>
      </c>
      <c r="K233">
        <v>24</v>
      </c>
      <c r="L233" t="s">
        <v>39</v>
      </c>
      <c r="M233">
        <v>24</v>
      </c>
      <c r="N233" t="s">
        <v>40</v>
      </c>
      <c r="O233" s="2">
        <v>2400</v>
      </c>
      <c r="P233" t="s">
        <v>41</v>
      </c>
      <c r="Q233" t="s">
        <v>42</v>
      </c>
      <c r="R233" t="s">
        <v>43</v>
      </c>
      <c r="S233" t="s">
        <v>44</v>
      </c>
      <c r="T233" t="s">
        <v>44</v>
      </c>
      <c r="U233" t="s">
        <v>44</v>
      </c>
      <c r="V233" t="s">
        <v>45</v>
      </c>
      <c r="W233" t="s">
        <v>46</v>
      </c>
      <c r="X233" t="s">
        <v>297</v>
      </c>
      <c r="Z233">
        <v>60</v>
      </c>
      <c r="AA233" t="s">
        <v>44</v>
      </c>
      <c r="AB233">
        <v>58</v>
      </c>
      <c r="AD233">
        <v>2</v>
      </c>
      <c r="AE233">
        <v>34.7</v>
      </c>
      <c r="AF233">
        <v>26.5</v>
      </c>
      <c r="AG233">
        <v>17.5</v>
      </c>
      <c r="AH233">
        <v>0.02</v>
      </c>
      <c r="AI233">
        <v>2.95</v>
      </c>
    </row>
    <row r="234" spans="1:35">
      <c r="A234" t="s">
        <v>570</v>
      </c>
      <c r="B234" t="s">
        <v>571</v>
      </c>
      <c r="D234" t="s">
        <v>37</v>
      </c>
      <c r="F234">
        <v>1</v>
      </c>
      <c r="G234">
        <v>1</v>
      </c>
      <c r="H234" t="s">
        <v>38</v>
      </c>
      <c r="I234">
        <v>12</v>
      </c>
      <c r="J234" t="str">
        <f>IF(OR(ISNUMBER(SEARCH("2Bks",B234)),ISNUMBER(SEARCH("5Bks",B234))),"RencengBNS",IF(ISNUMBER(SEARCH("1Box",B234)),"BoxBNS"," "))</f>
        <v>BoxBNS</v>
      </c>
      <c r="K234">
        <v>2</v>
      </c>
      <c r="L234" t="s">
        <v>39</v>
      </c>
      <c r="M234">
        <v>24</v>
      </c>
      <c r="N234" t="s">
        <v>40</v>
      </c>
      <c r="O234">
        <v>1</v>
      </c>
      <c r="P234" t="s">
        <v>41</v>
      </c>
      <c r="Q234" t="s">
        <v>42</v>
      </c>
      <c r="R234" t="s">
        <v>43</v>
      </c>
      <c r="S234" t="s">
        <v>44</v>
      </c>
      <c r="T234" t="s">
        <v>44</v>
      </c>
      <c r="U234" t="s">
        <v>44</v>
      </c>
      <c r="V234" t="s">
        <v>45</v>
      </c>
      <c r="W234" t="s">
        <v>46</v>
      </c>
      <c r="X234" t="s">
        <v>297</v>
      </c>
      <c r="Z234">
        <v>60</v>
      </c>
      <c r="AA234" t="s">
        <v>44</v>
      </c>
      <c r="AB234">
        <v>0</v>
      </c>
      <c r="AD234">
        <v>2</v>
      </c>
      <c r="AE234">
        <v>34.7</v>
      </c>
      <c r="AF234">
        <v>26.5</v>
      </c>
      <c r="AG234">
        <v>17.5</v>
      </c>
      <c r="AH234">
        <v>0.02</v>
      </c>
      <c r="AI234">
        <v>2.95</v>
      </c>
    </row>
    <row r="235" spans="1:35">
      <c r="A235" t="s">
        <v>572</v>
      </c>
      <c r="B235" t="s">
        <v>573</v>
      </c>
      <c r="D235" t="s">
        <v>37</v>
      </c>
      <c r="F235">
        <v>1</v>
      </c>
      <c r="G235">
        <v>1</v>
      </c>
      <c r="H235" t="s">
        <v>38</v>
      </c>
      <c r="K235">
        <v>20</v>
      </c>
      <c r="L235" t="s">
        <v>39</v>
      </c>
      <c r="M235">
        <v>20</v>
      </c>
      <c r="N235" t="s">
        <v>50</v>
      </c>
      <c r="O235">
        <v>1</v>
      </c>
      <c r="P235" t="s">
        <v>41</v>
      </c>
      <c r="Q235" t="s">
        <v>42</v>
      </c>
      <c r="R235" t="s">
        <v>43</v>
      </c>
      <c r="S235" t="s">
        <v>44</v>
      </c>
      <c r="T235" t="s">
        <v>44</v>
      </c>
      <c r="U235" t="s">
        <v>44</v>
      </c>
      <c r="V235" t="s">
        <v>45</v>
      </c>
      <c r="W235" t="s">
        <v>46</v>
      </c>
      <c r="X235" t="s">
        <v>297</v>
      </c>
      <c r="Z235">
        <v>50</v>
      </c>
      <c r="AA235" t="s">
        <v>44</v>
      </c>
      <c r="AB235">
        <v>0</v>
      </c>
      <c r="AD235">
        <v>2</v>
      </c>
      <c r="AE235">
        <v>28</v>
      </c>
      <c r="AF235">
        <v>21.4</v>
      </c>
      <c r="AG235">
        <v>27.4</v>
      </c>
      <c r="AH235">
        <v>0.02</v>
      </c>
      <c r="AI235">
        <v>2.09</v>
      </c>
    </row>
    <row r="236" hidden="1" spans="1:35">
      <c r="A236" t="s">
        <v>574</v>
      </c>
      <c r="B236" t="s">
        <v>575</v>
      </c>
      <c r="D236" t="s">
        <v>37</v>
      </c>
      <c r="F236">
        <v>1</v>
      </c>
      <c r="G236">
        <v>1</v>
      </c>
      <c r="K236">
        <v>1</v>
      </c>
      <c r="L236" t="s">
        <v>53</v>
      </c>
      <c r="M236">
        <v>20</v>
      </c>
      <c r="N236" t="s">
        <v>64</v>
      </c>
      <c r="O236">
        <v>1</v>
      </c>
      <c r="P236" t="s">
        <v>41</v>
      </c>
      <c r="Q236" t="s">
        <v>42</v>
      </c>
      <c r="R236" t="s">
        <v>43</v>
      </c>
      <c r="S236" t="s">
        <v>44</v>
      </c>
      <c r="T236" t="s">
        <v>44</v>
      </c>
      <c r="U236" t="s">
        <v>44</v>
      </c>
      <c r="V236" t="s">
        <v>45</v>
      </c>
      <c r="W236" t="s">
        <v>55</v>
      </c>
      <c r="X236" t="s">
        <v>297</v>
      </c>
      <c r="Z236">
        <v>250</v>
      </c>
      <c r="AA236" t="s">
        <v>44</v>
      </c>
      <c r="AB236">
        <v>0</v>
      </c>
      <c r="AD236">
        <v>2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hidden="1" spans="1:35">
      <c r="A237" t="s">
        <v>576</v>
      </c>
      <c r="B237" t="s">
        <v>577</v>
      </c>
      <c r="D237" t="s">
        <v>37</v>
      </c>
      <c r="F237">
        <v>1</v>
      </c>
      <c r="G237">
        <v>1</v>
      </c>
      <c r="K237">
        <v>1</v>
      </c>
      <c r="L237" t="s">
        <v>53</v>
      </c>
      <c r="M237">
        <v>10</v>
      </c>
      <c r="N237" t="s">
        <v>54</v>
      </c>
      <c r="O237">
        <v>10</v>
      </c>
      <c r="P237" t="s">
        <v>41</v>
      </c>
      <c r="Q237" t="s">
        <v>42</v>
      </c>
      <c r="R237" t="s">
        <v>43</v>
      </c>
      <c r="S237" t="s">
        <v>44</v>
      </c>
      <c r="T237" t="s">
        <v>44</v>
      </c>
      <c r="U237" t="s">
        <v>44</v>
      </c>
      <c r="V237" t="s">
        <v>45</v>
      </c>
      <c r="W237" t="s">
        <v>55</v>
      </c>
      <c r="X237" t="s">
        <v>297</v>
      </c>
      <c r="Z237" s="2">
        <v>1000</v>
      </c>
      <c r="AA237" t="s">
        <v>43</v>
      </c>
      <c r="AB237">
        <v>0</v>
      </c>
      <c r="AD237">
        <v>2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>
      <c r="A238" t="s">
        <v>578</v>
      </c>
      <c r="B238" t="s">
        <v>577</v>
      </c>
      <c r="D238" t="s">
        <v>37</v>
      </c>
      <c r="F238">
        <v>1</v>
      </c>
      <c r="G238">
        <v>1</v>
      </c>
      <c r="H238" t="s">
        <v>38</v>
      </c>
      <c r="K238">
        <v>15</v>
      </c>
      <c r="L238" t="s">
        <v>53</v>
      </c>
      <c r="M238">
        <v>15</v>
      </c>
      <c r="N238" t="s">
        <v>498</v>
      </c>
      <c r="O238">
        <v>15</v>
      </c>
      <c r="P238" t="s">
        <v>41</v>
      </c>
      <c r="Q238" t="s">
        <v>42</v>
      </c>
      <c r="R238" t="s">
        <v>43</v>
      </c>
      <c r="S238" t="s">
        <v>44</v>
      </c>
      <c r="T238" t="s">
        <v>44</v>
      </c>
      <c r="U238" t="s">
        <v>44</v>
      </c>
      <c r="V238" t="s">
        <v>45</v>
      </c>
      <c r="W238" t="s">
        <v>55</v>
      </c>
      <c r="X238" t="s">
        <v>297</v>
      </c>
      <c r="Z238" s="2">
        <v>1000</v>
      </c>
      <c r="AA238" t="s">
        <v>44</v>
      </c>
      <c r="AB238">
        <v>5</v>
      </c>
      <c r="AD238">
        <v>2</v>
      </c>
      <c r="AE238">
        <v>53.4</v>
      </c>
      <c r="AF238">
        <v>27.5</v>
      </c>
      <c r="AG238">
        <v>35</v>
      </c>
      <c r="AH238">
        <v>0.05</v>
      </c>
      <c r="AI238">
        <v>16.28</v>
      </c>
    </row>
    <row r="239" hidden="1" spans="1:35">
      <c r="A239" t="s">
        <v>579</v>
      </c>
      <c r="B239" t="s">
        <v>580</v>
      </c>
      <c r="D239" t="s">
        <v>37</v>
      </c>
      <c r="F239">
        <v>1</v>
      </c>
      <c r="G239">
        <v>1</v>
      </c>
      <c r="K239">
        <v>1</v>
      </c>
      <c r="L239" t="s">
        <v>58</v>
      </c>
      <c r="M239">
        <v>36</v>
      </c>
      <c r="N239" t="s">
        <v>59</v>
      </c>
      <c r="O239" s="2">
        <v>3600</v>
      </c>
      <c r="P239" t="s">
        <v>41</v>
      </c>
      <c r="Q239" t="s">
        <v>42</v>
      </c>
      <c r="R239" t="s">
        <v>43</v>
      </c>
      <c r="S239" t="s">
        <v>44</v>
      </c>
      <c r="T239" t="s">
        <v>44</v>
      </c>
      <c r="U239" t="s">
        <v>44</v>
      </c>
      <c r="V239" t="s">
        <v>45</v>
      </c>
      <c r="W239" t="s">
        <v>55</v>
      </c>
      <c r="X239" t="s">
        <v>297</v>
      </c>
      <c r="Z239">
        <v>200</v>
      </c>
      <c r="AA239" t="s">
        <v>43</v>
      </c>
      <c r="AB239">
        <v>0</v>
      </c>
      <c r="AD239">
        <v>2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>
      <c r="A240" t="s">
        <v>581</v>
      </c>
      <c r="B240" t="s">
        <v>580</v>
      </c>
      <c r="D240" t="s">
        <v>37</v>
      </c>
      <c r="F240">
        <v>1</v>
      </c>
      <c r="G240">
        <v>1</v>
      </c>
      <c r="H240" t="s">
        <v>38</v>
      </c>
      <c r="K240">
        <v>12</v>
      </c>
      <c r="L240" t="s">
        <v>58</v>
      </c>
      <c r="M240">
        <v>12</v>
      </c>
      <c r="N240" t="s">
        <v>61</v>
      </c>
      <c r="O240" s="2">
        <v>1200</v>
      </c>
      <c r="P240" t="s">
        <v>41</v>
      </c>
      <c r="Q240" t="s">
        <v>42</v>
      </c>
      <c r="R240" t="s">
        <v>43</v>
      </c>
      <c r="S240" t="s">
        <v>44</v>
      </c>
      <c r="T240" t="s">
        <v>44</v>
      </c>
      <c r="U240" t="s">
        <v>44</v>
      </c>
      <c r="V240" t="s">
        <v>45</v>
      </c>
      <c r="W240" t="s">
        <v>55</v>
      </c>
      <c r="X240" t="s">
        <v>297</v>
      </c>
      <c r="Z240">
        <v>200</v>
      </c>
      <c r="AA240" t="s">
        <v>44</v>
      </c>
      <c r="AB240">
        <v>2</v>
      </c>
      <c r="AD240">
        <v>2</v>
      </c>
      <c r="AE240">
        <v>34.7</v>
      </c>
      <c r="AF240">
        <v>26.5</v>
      </c>
      <c r="AG240">
        <v>17.5</v>
      </c>
      <c r="AH240">
        <v>0.02</v>
      </c>
      <c r="AI240">
        <v>4</v>
      </c>
    </row>
    <row r="241" hidden="1" spans="1:35">
      <c r="A241" t="s">
        <v>582</v>
      </c>
      <c r="B241" t="s">
        <v>583</v>
      </c>
      <c r="D241" t="s">
        <v>37</v>
      </c>
      <c r="F241">
        <v>1</v>
      </c>
      <c r="G241">
        <v>1</v>
      </c>
      <c r="K241">
        <v>1</v>
      </c>
      <c r="L241" t="s">
        <v>53</v>
      </c>
      <c r="M241">
        <v>20</v>
      </c>
      <c r="N241" t="s">
        <v>64</v>
      </c>
      <c r="O241">
        <v>20</v>
      </c>
      <c r="P241" t="s">
        <v>41</v>
      </c>
      <c r="Q241" t="s">
        <v>42</v>
      </c>
      <c r="R241" t="s">
        <v>43</v>
      </c>
      <c r="S241" t="s">
        <v>44</v>
      </c>
      <c r="T241" t="s">
        <v>44</v>
      </c>
      <c r="U241" t="s">
        <v>44</v>
      </c>
      <c r="V241" t="s">
        <v>45</v>
      </c>
      <c r="W241" t="s">
        <v>55</v>
      </c>
      <c r="X241" t="s">
        <v>297</v>
      </c>
      <c r="Z241">
        <v>250</v>
      </c>
      <c r="AA241" t="s">
        <v>44</v>
      </c>
      <c r="AB241">
        <v>0</v>
      </c>
      <c r="AD241">
        <v>2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hidden="1" spans="1:35">
      <c r="A242" t="s">
        <v>584</v>
      </c>
      <c r="B242" t="s">
        <v>585</v>
      </c>
      <c r="D242" t="s">
        <v>37</v>
      </c>
      <c r="F242">
        <v>1</v>
      </c>
      <c r="G242">
        <v>1</v>
      </c>
      <c r="K242">
        <v>1</v>
      </c>
      <c r="L242" t="s">
        <v>53</v>
      </c>
      <c r="M242">
        <v>20</v>
      </c>
      <c r="N242" t="s">
        <v>64</v>
      </c>
      <c r="O242">
        <v>20</v>
      </c>
      <c r="P242" t="s">
        <v>41</v>
      </c>
      <c r="Q242" t="s">
        <v>42</v>
      </c>
      <c r="R242" t="s">
        <v>43</v>
      </c>
      <c r="S242" t="s">
        <v>44</v>
      </c>
      <c r="T242" t="s">
        <v>44</v>
      </c>
      <c r="U242" t="s">
        <v>44</v>
      </c>
      <c r="V242" t="s">
        <v>45</v>
      </c>
      <c r="W242" t="s">
        <v>55</v>
      </c>
      <c r="X242" t="s">
        <v>297</v>
      </c>
      <c r="Z242">
        <v>500</v>
      </c>
      <c r="AA242" t="s">
        <v>43</v>
      </c>
      <c r="AB242">
        <v>0</v>
      </c>
      <c r="AD242">
        <v>2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>
      <c r="A243" t="s">
        <v>586</v>
      </c>
      <c r="B243" t="s">
        <v>585</v>
      </c>
      <c r="D243" t="s">
        <v>37</v>
      </c>
      <c r="F243">
        <v>1</v>
      </c>
      <c r="G243">
        <v>1</v>
      </c>
      <c r="H243" t="s">
        <v>38</v>
      </c>
      <c r="K243">
        <v>26</v>
      </c>
      <c r="L243" t="s">
        <v>53</v>
      </c>
      <c r="M243">
        <v>26</v>
      </c>
      <c r="N243" t="s">
        <v>505</v>
      </c>
      <c r="O243">
        <v>26</v>
      </c>
      <c r="P243" t="s">
        <v>41</v>
      </c>
      <c r="Q243" t="s">
        <v>42</v>
      </c>
      <c r="R243" t="s">
        <v>43</v>
      </c>
      <c r="S243" t="s">
        <v>44</v>
      </c>
      <c r="T243" t="s">
        <v>44</v>
      </c>
      <c r="U243" t="s">
        <v>44</v>
      </c>
      <c r="V243" t="s">
        <v>45</v>
      </c>
      <c r="W243" t="s">
        <v>55</v>
      </c>
      <c r="X243" t="s">
        <v>297</v>
      </c>
      <c r="Z243">
        <v>500</v>
      </c>
      <c r="AA243" t="s">
        <v>44</v>
      </c>
      <c r="AB243">
        <v>1</v>
      </c>
      <c r="AD243">
        <v>2</v>
      </c>
      <c r="AE243">
        <v>53.4</v>
      </c>
      <c r="AF243">
        <v>27.5</v>
      </c>
      <c r="AG243">
        <v>35</v>
      </c>
      <c r="AH243">
        <v>0.05</v>
      </c>
      <c r="AI243">
        <v>14.36</v>
      </c>
    </row>
    <row r="244" spans="1:35">
      <c r="A244" t="s">
        <v>587</v>
      </c>
      <c r="B244" t="s">
        <v>588</v>
      </c>
      <c r="D244" t="s">
        <v>37</v>
      </c>
      <c r="F244">
        <v>1</v>
      </c>
      <c r="G244">
        <v>1</v>
      </c>
      <c r="H244" t="s">
        <v>38</v>
      </c>
      <c r="K244">
        <v>88</v>
      </c>
      <c r="L244" t="s">
        <v>39</v>
      </c>
      <c r="M244">
        <v>88</v>
      </c>
      <c r="N244" t="s">
        <v>589</v>
      </c>
      <c r="O244" s="2">
        <v>8800</v>
      </c>
      <c r="P244" t="s">
        <v>41</v>
      </c>
      <c r="Q244" t="s">
        <v>42</v>
      </c>
      <c r="R244" t="s">
        <v>43</v>
      </c>
      <c r="S244" t="s">
        <v>44</v>
      </c>
      <c r="T244" t="s">
        <v>44</v>
      </c>
      <c r="U244" t="s">
        <v>44</v>
      </c>
      <c r="V244" t="s">
        <v>45</v>
      </c>
      <c r="W244" t="s">
        <v>46</v>
      </c>
      <c r="X244" t="s">
        <v>297</v>
      </c>
      <c r="Z244">
        <v>30</v>
      </c>
      <c r="AA244" t="s">
        <v>44</v>
      </c>
      <c r="AB244">
        <v>0</v>
      </c>
      <c r="AD244">
        <v>2</v>
      </c>
      <c r="AE244">
        <v>53.4</v>
      </c>
      <c r="AF244">
        <v>27.5</v>
      </c>
      <c r="AG244">
        <v>35</v>
      </c>
      <c r="AH244">
        <v>0.05</v>
      </c>
      <c r="AI244" s="2">
        <v>2640</v>
      </c>
    </row>
    <row r="245" spans="1:35">
      <c r="A245" t="s">
        <v>590</v>
      </c>
      <c r="B245" t="s">
        <v>591</v>
      </c>
      <c r="D245" t="s">
        <v>37</v>
      </c>
      <c r="F245">
        <v>1</v>
      </c>
      <c r="G245">
        <v>1</v>
      </c>
      <c r="H245" t="s">
        <v>38</v>
      </c>
      <c r="K245">
        <v>24</v>
      </c>
      <c r="L245" t="s">
        <v>39</v>
      </c>
      <c r="M245">
        <v>24</v>
      </c>
      <c r="N245" t="s">
        <v>40</v>
      </c>
      <c r="O245" s="2">
        <v>2400</v>
      </c>
      <c r="P245" t="s">
        <v>41</v>
      </c>
      <c r="Q245" t="s">
        <v>42</v>
      </c>
      <c r="R245" t="s">
        <v>43</v>
      </c>
      <c r="S245" t="s">
        <v>44</v>
      </c>
      <c r="T245" t="s">
        <v>44</v>
      </c>
      <c r="U245" t="s">
        <v>44</v>
      </c>
      <c r="V245" t="s">
        <v>45</v>
      </c>
      <c r="W245" t="s">
        <v>46</v>
      </c>
      <c r="X245" t="s">
        <v>297</v>
      </c>
      <c r="Z245">
        <v>60</v>
      </c>
      <c r="AA245" t="s">
        <v>44</v>
      </c>
      <c r="AB245">
        <v>14</v>
      </c>
      <c r="AD245">
        <v>2</v>
      </c>
      <c r="AE245">
        <v>34.7</v>
      </c>
      <c r="AF245">
        <v>26.5</v>
      </c>
      <c r="AG245">
        <v>17.5</v>
      </c>
      <c r="AH245">
        <v>0.02</v>
      </c>
      <c r="AI245">
        <v>2.95</v>
      </c>
    </row>
    <row r="246" spans="1:35">
      <c r="A246" t="s">
        <v>592</v>
      </c>
      <c r="B246" t="s">
        <v>593</v>
      </c>
      <c r="D246" t="s">
        <v>37</v>
      </c>
      <c r="F246">
        <v>1</v>
      </c>
      <c r="G246">
        <v>1</v>
      </c>
      <c r="H246" t="s">
        <v>38</v>
      </c>
      <c r="I246">
        <v>12</v>
      </c>
      <c r="J246" t="str">
        <f>IF(OR(ISNUMBER(SEARCH("2Bks",B246)),ISNUMBER(SEARCH("5Bks",B246))),"RencengBNS",IF(ISNUMBER(SEARCH("1Box",B246)),"BoxBNS"," "))</f>
        <v>BoxBNS</v>
      </c>
      <c r="K246">
        <v>2</v>
      </c>
      <c r="L246" t="s">
        <v>39</v>
      </c>
      <c r="M246">
        <v>24</v>
      </c>
      <c r="N246" t="s">
        <v>40</v>
      </c>
      <c r="O246">
        <v>1</v>
      </c>
      <c r="P246" t="s">
        <v>41</v>
      </c>
      <c r="Q246" t="s">
        <v>42</v>
      </c>
      <c r="R246" t="s">
        <v>43</v>
      </c>
      <c r="S246" t="s">
        <v>44</v>
      </c>
      <c r="T246" t="s">
        <v>44</v>
      </c>
      <c r="U246" t="s">
        <v>44</v>
      </c>
      <c r="V246" t="s">
        <v>45</v>
      </c>
      <c r="W246" t="s">
        <v>46</v>
      </c>
      <c r="X246" t="s">
        <v>297</v>
      </c>
      <c r="Z246">
        <v>60</v>
      </c>
      <c r="AA246" t="s">
        <v>44</v>
      </c>
      <c r="AB246">
        <v>0</v>
      </c>
      <c r="AD246">
        <v>2</v>
      </c>
      <c r="AE246">
        <v>34.7</v>
      </c>
      <c r="AF246">
        <v>26.5</v>
      </c>
      <c r="AG246">
        <v>17.5</v>
      </c>
      <c r="AH246">
        <v>0.02</v>
      </c>
      <c r="AI246">
        <v>2.95</v>
      </c>
    </row>
    <row r="247" spans="1:35">
      <c r="A247" t="s">
        <v>594</v>
      </c>
      <c r="B247" t="s">
        <v>595</v>
      </c>
      <c r="D247" t="s">
        <v>37</v>
      </c>
      <c r="F247">
        <v>1</v>
      </c>
      <c r="G247">
        <v>1</v>
      </c>
      <c r="H247" t="s">
        <v>38</v>
      </c>
      <c r="K247">
        <v>12</v>
      </c>
      <c r="L247" t="s">
        <v>58</v>
      </c>
      <c r="M247">
        <v>12</v>
      </c>
      <c r="N247" t="s">
        <v>61</v>
      </c>
      <c r="O247">
        <v>1</v>
      </c>
      <c r="P247" t="s">
        <v>41</v>
      </c>
      <c r="Q247" t="s">
        <v>42</v>
      </c>
      <c r="R247" t="s">
        <v>43</v>
      </c>
      <c r="S247" t="s">
        <v>44</v>
      </c>
      <c r="T247" t="s">
        <v>44</v>
      </c>
      <c r="U247" t="s">
        <v>44</v>
      </c>
      <c r="V247" t="s">
        <v>45</v>
      </c>
      <c r="W247" t="s">
        <v>46</v>
      </c>
      <c r="X247" t="s">
        <v>297</v>
      </c>
      <c r="Z247">
        <v>200</v>
      </c>
      <c r="AA247" t="s">
        <v>44</v>
      </c>
      <c r="AB247">
        <v>0</v>
      </c>
      <c r="AD247">
        <v>2</v>
      </c>
      <c r="AE247">
        <v>34.7</v>
      </c>
      <c r="AF247">
        <v>26.5</v>
      </c>
      <c r="AG247">
        <v>17.5</v>
      </c>
      <c r="AH247">
        <v>0.02</v>
      </c>
      <c r="AI247">
        <v>4</v>
      </c>
    </row>
    <row r="248" spans="1:35">
      <c r="A248" t="s">
        <v>596</v>
      </c>
      <c r="B248" t="s">
        <v>597</v>
      </c>
      <c r="D248" t="s">
        <v>37</v>
      </c>
      <c r="F248">
        <v>1</v>
      </c>
      <c r="G248">
        <v>1</v>
      </c>
      <c r="H248" t="s">
        <v>38</v>
      </c>
      <c r="K248">
        <v>15</v>
      </c>
      <c r="L248" t="s">
        <v>53</v>
      </c>
      <c r="M248">
        <v>15</v>
      </c>
      <c r="N248" t="s">
        <v>498</v>
      </c>
      <c r="O248" s="2">
        <v>1500</v>
      </c>
      <c r="P248" t="s">
        <v>41</v>
      </c>
      <c r="Q248" t="s">
        <v>42</v>
      </c>
      <c r="R248" t="s">
        <v>43</v>
      </c>
      <c r="S248" t="s">
        <v>44</v>
      </c>
      <c r="T248" t="s">
        <v>44</v>
      </c>
      <c r="U248" t="s">
        <v>44</v>
      </c>
      <c r="V248" t="s">
        <v>45</v>
      </c>
      <c r="W248" t="s">
        <v>55</v>
      </c>
      <c r="X248" t="s">
        <v>297</v>
      </c>
      <c r="Z248" s="2">
        <v>1000</v>
      </c>
      <c r="AA248" t="s">
        <v>44</v>
      </c>
      <c r="AB248">
        <v>4</v>
      </c>
      <c r="AD248">
        <v>2</v>
      </c>
      <c r="AE248">
        <v>53.4</v>
      </c>
      <c r="AF248">
        <v>27.5</v>
      </c>
      <c r="AG248">
        <v>35</v>
      </c>
      <c r="AH248">
        <v>0.05</v>
      </c>
      <c r="AI248">
        <v>16.28</v>
      </c>
    </row>
    <row r="249" spans="1:35">
      <c r="A249" t="s">
        <v>598</v>
      </c>
      <c r="B249" t="s">
        <v>599</v>
      </c>
      <c r="D249" t="s">
        <v>37</v>
      </c>
      <c r="F249">
        <v>1</v>
      </c>
      <c r="G249">
        <v>1</v>
      </c>
      <c r="H249" t="s">
        <v>38</v>
      </c>
      <c r="K249">
        <v>12</v>
      </c>
      <c r="L249" t="s">
        <v>58</v>
      </c>
      <c r="M249">
        <v>12</v>
      </c>
      <c r="N249" t="s">
        <v>61</v>
      </c>
      <c r="O249" s="2">
        <v>1200</v>
      </c>
      <c r="P249" t="s">
        <v>41</v>
      </c>
      <c r="Q249" t="s">
        <v>42</v>
      </c>
      <c r="R249" t="s">
        <v>43</v>
      </c>
      <c r="S249" t="s">
        <v>44</v>
      </c>
      <c r="T249" t="s">
        <v>44</v>
      </c>
      <c r="U249" t="s">
        <v>44</v>
      </c>
      <c r="V249" t="s">
        <v>45</v>
      </c>
      <c r="W249" t="s">
        <v>55</v>
      </c>
      <c r="X249" t="s">
        <v>297</v>
      </c>
      <c r="Z249">
        <v>200</v>
      </c>
      <c r="AA249" t="s">
        <v>44</v>
      </c>
      <c r="AB249">
        <v>6</v>
      </c>
      <c r="AD249">
        <v>2</v>
      </c>
      <c r="AE249">
        <v>34.7</v>
      </c>
      <c r="AF249">
        <v>26.5</v>
      </c>
      <c r="AG249">
        <v>17.5</v>
      </c>
      <c r="AH249">
        <v>0.02</v>
      </c>
      <c r="AI249">
        <v>4</v>
      </c>
    </row>
    <row r="250" hidden="1" spans="1:35">
      <c r="A250" t="s">
        <v>600</v>
      </c>
      <c r="B250" t="s">
        <v>601</v>
      </c>
      <c r="D250" t="s">
        <v>37</v>
      </c>
      <c r="F250">
        <v>1</v>
      </c>
      <c r="G250">
        <v>1</v>
      </c>
      <c r="K250">
        <v>1</v>
      </c>
      <c r="L250" t="s">
        <v>53</v>
      </c>
      <c r="M250">
        <v>20</v>
      </c>
      <c r="N250" t="s">
        <v>64</v>
      </c>
      <c r="O250" s="2">
        <v>2000</v>
      </c>
      <c r="P250" t="s">
        <v>41</v>
      </c>
      <c r="Q250" t="s">
        <v>42</v>
      </c>
      <c r="R250" t="s">
        <v>43</v>
      </c>
      <c r="S250" t="s">
        <v>44</v>
      </c>
      <c r="T250" t="s">
        <v>44</v>
      </c>
      <c r="U250" t="s">
        <v>44</v>
      </c>
      <c r="V250" t="s">
        <v>45</v>
      </c>
      <c r="W250" t="s">
        <v>55</v>
      </c>
      <c r="X250" t="s">
        <v>297</v>
      </c>
      <c r="Z250">
        <v>250</v>
      </c>
      <c r="AA250" t="s">
        <v>44</v>
      </c>
      <c r="AB250">
        <v>0</v>
      </c>
      <c r="AD250">
        <v>2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>
      <c r="A251" t="s">
        <v>602</v>
      </c>
      <c r="B251" t="s">
        <v>603</v>
      </c>
      <c r="D251" t="s">
        <v>37</v>
      </c>
      <c r="F251">
        <v>1</v>
      </c>
      <c r="G251">
        <v>1</v>
      </c>
      <c r="H251" t="s">
        <v>38</v>
      </c>
      <c r="K251">
        <v>26</v>
      </c>
      <c r="L251" t="s">
        <v>53</v>
      </c>
      <c r="M251">
        <v>26</v>
      </c>
      <c r="N251" t="s">
        <v>505</v>
      </c>
      <c r="O251" s="2">
        <v>2600</v>
      </c>
      <c r="P251" t="s">
        <v>41</v>
      </c>
      <c r="Q251" t="s">
        <v>42</v>
      </c>
      <c r="R251" t="s">
        <v>43</v>
      </c>
      <c r="S251" t="s">
        <v>44</v>
      </c>
      <c r="T251" t="s">
        <v>44</v>
      </c>
      <c r="U251" t="s">
        <v>44</v>
      </c>
      <c r="V251" t="s">
        <v>45</v>
      </c>
      <c r="W251" t="s">
        <v>55</v>
      </c>
      <c r="X251" t="s">
        <v>297</v>
      </c>
      <c r="Z251">
        <v>500</v>
      </c>
      <c r="AA251" t="s">
        <v>44</v>
      </c>
      <c r="AB251">
        <v>0</v>
      </c>
      <c r="AD251">
        <v>2</v>
      </c>
      <c r="AE251">
        <v>53.4</v>
      </c>
      <c r="AF251">
        <v>27.5</v>
      </c>
      <c r="AG251">
        <v>35</v>
      </c>
      <c r="AH251">
        <v>0.05</v>
      </c>
      <c r="AI251">
        <v>14.36</v>
      </c>
    </row>
    <row r="252" spans="1:35">
      <c r="A252" t="s">
        <v>604</v>
      </c>
      <c r="B252" t="s">
        <v>605</v>
      </c>
      <c r="D252" t="s">
        <v>37</v>
      </c>
      <c r="F252">
        <v>1</v>
      </c>
      <c r="G252">
        <v>1</v>
      </c>
      <c r="H252" t="s">
        <v>38</v>
      </c>
      <c r="K252">
        <v>24</v>
      </c>
      <c r="L252" t="s">
        <v>39</v>
      </c>
      <c r="M252">
        <v>24</v>
      </c>
      <c r="N252" t="s">
        <v>40</v>
      </c>
      <c r="O252" s="2">
        <v>2400</v>
      </c>
      <c r="P252" t="s">
        <v>41</v>
      </c>
      <c r="Q252" t="s">
        <v>42</v>
      </c>
      <c r="R252" t="s">
        <v>43</v>
      </c>
      <c r="S252" t="s">
        <v>44</v>
      </c>
      <c r="T252" t="s">
        <v>44</v>
      </c>
      <c r="U252" t="s">
        <v>44</v>
      </c>
      <c r="V252" t="s">
        <v>45</v>
      </c>
      <c r="W252" t="s">
        <v>46</v>
      </c>
      <c r="X252" t="s">
        <v>297</v>
      </c>
      <c r="Z252">
        <v>60</v>
      </c>
      <c r="AA252" t="s">
        <v>44</v>
      </c>
      <c r="AB252">
        <v>44</v>
      </c>
      <c r="AD252">
        <v>2</v>
      </c>
      <c r="AE252">
        <v>34.7</v>
      </c>
      <c r="AF252">
        <v>26.5</v>
      </c>
      <c r="AG252">
        <v>17.5</v>
      </c>
      <c r="AH252">
        <v>0.02</v>
      </c>
      <c r="AI252">
        <v>2.95</v>
      </c>
    </row>
    <row r="253" spans="1:35">
      <c r="A253" t="s">
        <v>606</v>
      </c>
      <c r="B253" t="s">
        <v>607</v>
      </c>
      <c r="D253" t="s">
        <v>37</v>
      </c>
      <c r="F253">
        <v>1</v>
      </c>
      <c r="G253">
        <v>1</v>
      </c>
      <c r="H253" t="s">
        <v>38</v>
      </c>
      <c r="I253">
        <v>12</v>
      </c>
      <c r="J253" t="str">
        <f>IF(OR(ISNUMBER(SEARCH("2Bks",B253)),ISNUMBER(SEARCH("5Bks",B253))),"RencengBNS",IF(ISNUMBER(SEARCH("1Box",B253)),"BoxBNS"," "))</f>
        <v>BoxBNS</v>
      </c>
      <c r="K253">
        <v>2</v>
      </c>
      <c r="L253" t="s">
        <v>39</v>
      </c>
      <c r="M253">
        <v>24</v>
      </c>
      <c r="N253" t="s">
        <v>40</v>
      </c>
      <c r="O253">
        <v>1</v>
      </c>
      <c r="P253" t="s">
        <v>41</v>
      </c>
      <c r="Q253" t="s">
        <v>42</v>
      </c>
      <c r="R253" t="s">
        <v>43</v>
      </c>
      <c r="S253" t="s">
        <v>44</v>
      </c>
      <c r="T253" t="s">
        <v>44</v>
      </c>
      <c r="U253" t="s">
        <v>44</v>
      </c>
      <c r="V253" t="s">
        <v>45</v>
      </c>
      <c r="W253" t="s">
        <v>46</v>
      </c>
      <c r="X253" t="s">
        <v>297</v>
      </c>
      <c r="Z253">
        <v>60</v>
      </c>
      <c r="AA253" t="s">
        <v>44</v>
      </c>
      <c r="AB253">
        <v>0</v>
      </c>
      <c r="AD253">
        <v>2</v>
      </c>
      <c r="AE253">
        <v>34.7</v>
      </c>
      <c r="AF253">
        <v>26.5</v>
      </c>
      <c r="AG253">
        <v>17.5</v>
      </c>
      <c r="AH253">
        <v>0.02</v>
      </c>
      <c r="AI253">
        <v>2.95</v>
      </c>
    </row>
    <row r="254" spans="1:35">
      <c r="A254" t="s">
        <v>608</v>
      </c>
      <c r="B254" t="s">
        <v>609</v>
      </c>
      <c r="D254" t="s">
        <v>37</v>
      </c>
      <c r="F254">
        <v>1</v>
      </c>
      <c r="G254">
        <v>1</v>
      </c>
      <c r="H254" t="s">
        <v>38</v>
      </c>
      <c r="K254">
        <v>20</v>
      </c>
      <c r="L254" t="s">
        <v>39</v>
      </c>
      <c r="M254">
        <v>20</v>
      </c>
      <c r="N254" t="s">
        <v>50</v>
      </c>
      <c r="O254">
        <v>1</v>
      </c>
      <c r="P254" t="s">
        <v>41</v>
      </c>
      <c r="Q254" t="s">
        <v>42</v>
      </c>
      <c r="R254" t="s">
        <v>43</v>
      </c>
      <c r="S254" t="s">
        <v>44</v>
      </c>
      <c r="T254" t="s">
        <v>44</v>
      </c>
      <c r="U254" t="s">
        <v>44</v>
      </c>
      <c r="V254" t="s">
        <v>45</v>
      </c>
      <c r="W254" t="s">
        <v>46</v>
      </c>
      <c r="X254" t="s">
        <v>297</v>
      </c>
      <c r="Z254">
        <v>50</v>
      </c>
      <c r="AA254" t="s">
        <v>44</v>
      </c>
      <c r="AB254">
        <v>0</v>
      </c>
      <c r="AD254">
        <v>2</v>
      </c>
      <c r="AE254">
        <v>28</v>
      </c>
      <c r="AF254">
        <v>21.4</v>
      </c>
      <c r="AG254">
        <v>27.4</v>
      </c>
      <c r="AH254">
        <v>0.02</v>
      </c>
      <c r="AI254">
        <v>2.09</v>
      </c>
    </row>
    <row r="255" hidden="1" spans="1:35">
      <c r="A255" t="s">
        <v>610</v>
      </c>
      <c r="B255" t="s">
        <v>611</v>
      </c>
      <c r="D255" t="s">
        <v>37</v>
      </c>
      <c r="F255">
        <v>1</v>
      </c>
      <c r="G255">
        <v>1</v>
      </c>
      <c r="K255">
        <v>1</v>
      </c>
      <c r="L255" t="s">
        <v>58</v>
      </c>
      <c r="M255">
        <v>12</v>
      </c>
      <c r="N255" t="s">
        <v>61</v>
      </c>
      <c r="O255">
        <v>1</v>
      </c>
      <c r="P255" t="s">
        <v>41</v>
      </c>
      <c r="Q255" t="s">
        <v>42</v>
      </c>
      <c r="R255" t="s">
        <v>43</v>
      </c>
      <c r="S255" t="s">
        <v>44</v>
      </c>
      <c r="T255" t="s">
        <v>44</v>
      </c>
      <c r="U255" t="s">
        <v>44</v>
      </c>
      <c r="V255" t="s">
        <v>45</v>
      </c>
      <c r="W255" t="s">
        <v>46</v>
      </c>
      <c r="X255" t="s">
        <v>297</v>
      </c>
      <c r="Z255">
        <v>200</v>
      </c>
      <c r="AA255" t="s">
        <v>44</v>
      </c>
      <c r="AB255">
        <v>0</v>
      </c>
      <c r="AD255">
        <v>2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hidden="1" spans="1:35">
      <c r="A256" t="s">
        <v>612</v>
      </c>
      <c r="B256" t="s">
        <v>613</v>
      </c>
      <c r="D256" t="s">
        <v>37</v>
      </c>
      <c r="F256">
        <v>1</v>
      </c>
      <c r="G256">
        <v>1</v>
      </c>
      <c r="K256">
        <v>1</v>
      </c>
      <c r="L256" t="s">
        <v>53</v>
      </c>
      <c r="M256">
        <v>20</v>
      </c>
      <c r="N256" t="s">
        <v>64</v>
      </c>
      <c r="O256">
        <v>1</v>
      </c>
      <c r="P256" t="s">
        <v>41</v>
      </c>
      <c r="Q256" t="s">
        <v>42</v>
      </c>
      <c r="R256" t="s">
        <v>43</v>
      </c>
      <c r="S256" t="s">
        <v>44</v>
      </c>
      <c r="T256" t="s">
        <v>44</v>
      </c>
      <c r="U256" t="s">
        <v>44</v>
      </c>
      <c r="V256" t="s">
        <v>45</v>
      </c>
      <c r="W256" t="s">
        <v>55</v>
      </c>
      <c r="X256" t="s">
        <v>297</v>
      </c>
      <c r="Z256">
        <v>250</v>
      </c>
      <c r="AA256" t="s">
        <v>44</v>
      </c>
      <c r="AB256">
        <v>0</v>
      </c>
      <c r="AD256">
        <v>2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hidden="1" spans="1:35">
      <c r="A257" t="s">
        <v>614</v>
      </c>
      <c r="B257" t="s">
        <v>615</v>
      </c>
      <c r="D257" t="s">
        <v>37</v>
      </c>
      <c r="F257">
        <v>1</v>
      </c>
      <c r="G257">
        <v>1</v>
      </c>
      <c r="K257">
        <v>1</v>
      </c>
      <c r="L257" t="s">
        <v>53</v>
      </c>
      <c r="M257">
        <v>10</v>
      </c>
      <c r="N257" t="s">
        <v>54</v>
      </c>
      <c r="O257">
        <v>10</v>
      </c>
      <c r="P257" t="s">
        <v>41</v>
      </c>
      <c r="Q257" t="s">
        <v>42</v>
      </c>
      <c r="R257" t="s">
        <v>43</v>
      </c>
      <c r="S257" t="s">
        <v>44</v>
      </c>
      <c r="T257" t="s">
        <v>44</v>
      </c>
      <c r="U257" t="s">
        <v>44</v>
      </c>
      <c r="V257" t="s">
        <v>45</v>
      </c>
      <c r="W257" t="s">
        <v>55</v>
      </c>
      <c r="X257" t="s">
        <v>297</v>
      </c>
      <c r="Z257" s="2">
        <v>1000</v>
      </c>
      <c r="AA257" t="s">
        <v>43</v>
      </c>
      <c r="AB257">
        <v>0</v>
      </c>
      <c r="AD257">
        <v>2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>
      <c r="A258" t="s">
        <v>616</v>
      </c>
      <c r="B258" t="s">
        <v>615</v>
      </c>
      <c r="D258" t="s">
        <v>37</v>
      </c>
      <c r="F258">
        <v>1</v>
      </c>
      <c r="G258">
        <v>1</v>
      </c>
      <c r="H258" t="s">
        <v>38</v>
      </c>
      <c r="K258">
        <v>15</v>
      </c>
      <c r="L258" t="s">
        <v>53</v>
      </c>
      <c r="M258">
        <v>15</v>
      </c>
      <c r="N258" t="s">
        <v>498</v>
      </c>
      <c r="O258">
        <v>15</v>
      </c>
      <c r="P258" t="s">
        <v>41</v>
      </c>
      <c r="Q258" t="s">
        <v>42</v>
      </c>
      <c r="R258" t="s">
        <v>43</v>
      </c>
      <c r="S258" t="s">
        <v>44</v>
      </c>
      <c r="T258" t="s">
        <v>44</v>
      </c>
      <c r="U258" t="s">
        <v>44</v>
      </c>
      <c r="V258" t="s">
        <v>45</v>
      </c>
      <c r="W258" t="s">
        <v>55</v>
      </c>
      <c r="X258" t="s">
        <v>297</v>
      </c>
      <c r="Z258" s="2">
        <v>1000</v>
      </c>
      <c r="AA258" t="s">
        <v>44</v>
      </c>
      <c r="AB258">
        <v>6</v>
      </c>
      <c r="AD258">
        <v>2</v>
      </c>
      <c r="AE258">
        <v>53.4</v>
      </c>
      <c r="AF258">
        <v>27.5</v>
      </c>
      <c r="AG258">
        <v>35</v>
      </c>
      <c r="AH258">
        <v>0.05</v>
      </c>
      <c r="AI258">
        <v>16.28</v>
      </c>
    </row>
    <row r="259" hidden="1" spans="1:35">
      <c r="A259" t="s">
        <v>617</v>
      </c>
      <c r="B259" t="s">
        <v>618</v>
      </c>
      <c r="D259" t="s">
        <v>37</v>
      </c>
      <c r="F259">
        <v>1</v>
      </c>
      <c r="G259">
        <v>1</v>
      </c>
      <c r="K259">
        <v>1</v>
      </c>
      <c r="L259" t="s">
        <v>58</v>
      </c>
      <c r="M259">
        <v>36</v>
      </c>
      <c r="N259" t="s">
        <v>59</v>
      </c>
      <c r="O259" s="2">
        <v>3600</v>
      </c>
      <c r="P259" t="s">
        <v>41</v>
      </c>
      <c r="Q259" t="s">
        <v>42</v>
      </c>
      <c r="R259" t="s">
        <v>43</v>
      </c>
      <c r="S259" t="s">
        <v>44</v>
      </c>
      <c r="T259" t="s">
        <v>44</v>
      </c>
      <c r="U259" t="s">
        <v>44</v>
      </c>
      <c r="V259" t="s">
        <v>45</v>
      </c>
      <c r="W259" t="s">
        <v>55</v>
      </c>
      <c r="X259" t="s">
        <v>297</v>
      </c>
      <c r="Z259">
        <v>200</v>
      </c>
      <c r="AA259" t="s">
        <v>44</v>
      </c>
      <c r="AB259">
        <v>0</v>
      </c>
      <c r="AD259">
        <v>2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hidden="1" spans="1:35">
      <c r="A260" t="s">
        <v>619</v>
      </c>
      <c r="B260" t="s">
        <v>618</v>
      </c>
      <c r="D260" t="s">
        <v>37</v>
      </c>
      <c r="F260">
        <v>1</v>
      </c>
      <c r="G260">
        <v>1</v>
      </c>
      <c r="K260">
        <v>1</v>
      </c>
      <c r="L260" t="s">
        <v>58</v>
      </c>
      <c r="M260">
        <v>12</v>
      </c>
      <c r="N260" t="s">
        <v>61</v>
      </c>
      <c r="O260" s="2">
        <v>1200</v>
      </c>
      <c r="P260" t="s">
        <v>41</v>
      </c>
      <c r="Q260" t="s">
        <v>42</v>
      </c>
      <c r="R260" t="s">
        <v>43</v>
      </c>
      <c r="S260" t="s">
        <v>44</v>
      </c>
      <c r="T260" t="s">
        <v>44</v>
      </c>
      <c r="U260" t="s">
        <v>44</v>
      </c>
      <c r="V260" t="s">
        <v>45</v>
      </c>
      <c r="W260" t="s">
        <v>55</v>
      </c>
      <c r="X260" t="s">
        <v>297</v>
      </c>
      <c r="Z260">
        <v>200</v>
      </c>
      <c r="AA260" t="s">
        <v>44</v>
      </c>
      <c r="AB260">
        <v>5</v>
      </c>
      <c r="AD260">
        <v>2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hidden="1" spans="1:35">
      <c r="A261" t="s">
        <v>620</v>
      </c>
      <c r="B261" t="s">
        <v>621</v>
      </c>
      <c r="D261" t="s">
        <v>37</v>
      </c>
      <c r="F261">
        <v>1</v>
      </c>
      <c r="G261">
        <v>1</v>
      </c>
      <c r="K261">
        <v>1</v>
      </c>
      <c r="L261" t="s">
        <v>53</v>
      </c>
      <c r="M261">
        <v>20</v>
      </c>
      <c r="N261" t="s">
        <v>64</v>
      </c>
      <c r="O261">
        <v>20</v>
      </c>
      <c r="P261" t="s">
        <v>41</v>
      </c>
      <c r="Q261" t="s">
        <v>42</v>
      </c>
      <c r="R261" t="s">
        <v>43</v>
      </c>
      <c r="S261" t="s">
        <v>44</v>
      </c>
      <c r="T261" t="s">
        <v>44</v>
      </c>
      <c r="U261" t="s">
        <v>44</v>
      </c>
      <c r="V261" t="s">
        <v>45</v>
      </c>
      <c r="W261" t="s">
        <v>55</v>
      </c>
      <c r="X261" t="s">
        <v>297</v>
      </c>
      <c r="Z261">
        <v>250</v>
      </c>
      <c r="AA261" t="s">
        <v>44</v>
      </c>
      <c r="AB261">
        <v>0</v>
      </c>
      <c r="AD261">
        <v>2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hidden="1" spans="1:35">
      <c r="A262" t="s">
        <v>622</v>
      </c>
      <c r="B262" t="s">
        <v>623</v>
      </c>
      <c r="D262" t="s">
        <v>37</v>
      </c>
      <c r="F262">
        <v>1</v>
      </c>
      <c r="G262">
        <v>1</v>
      </c>
      <c r="K262">
        <v>1</v>
      </c>
      <c r="L262" t="s">
        <v>53</v>
      </c>
      <c r="M262">
        <v>20</v>
      </c>
      <c r="N262" t="s">
        <v>64</v>
      </c>
      <c r="O262">
        <v>20</v>
      </c>
      <c r="P262" t="s">
        <v>41</v>
      </c>
      <c r="Q262" t="s">
        <v>42</v>
      </c>
      <c r="R262" t="s">
        <v>43</v>
      </c>
      <c r="S262" t="s">
        <v>44</v>
      </c>
      <c r="T262" t="s">
        <v>44</v>
      </c>
      <c r="U262" t="s">
        <v>44</v>
      </c>
      <c r="V262" t="s">
        <v>45</v>
      </c>
      <c r="W262" t="s">
        <v>55</v>
      </c>
      <c r="X262" t="s">
        <v>297</v>
      </c>
      <c r="Z262">
        <v>500</v>
      </c>
      <c r="AA262" t="s">
        <v>43</v>
      </c>
      <c r="AB262">
        <v>0</v>
      </c>
      <c r="AD262">
        <v>2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>
      <c r="A263" t="s">
        <v>624</v>
      </c>
      <c r="B263" t="s">
        <v>623</v>
      </c>
      <c r="D263" t="s">
        <v>37</v>
      </c>
      <c r="F263">
        <v>1</v>
      </c>
      <c r="G263">
        <v>1</v>
      </c>
      <c r="H263" t="s">
        <v>38</v>
      </c>
      <c r="K263">
        <v>26</v>
      </c>
      <c r="L263" t="s">
        <v>53</v>
      </c>
      <c r="M263">
        <v>26</v>
      </c>
      <c r="N263" t="s">
        <v>505</v>
      </c>
      <c r="O263">
        <v>26</v>
      </c>
      <c r="P263" t="s">
        <v>41</v>
      </c>
      <c r="Q263" t="s">
        <v>42</v>
      </c>
      <c r="R263" t="s">
        <v>43</v>
      </c>
      <c r="S263" t="s">
        <v>44</v>
      </c>
      <c r="T263" t="s">
        <v>44</v>
      </c>
      <c r="U263" t="s">
        <v>44</v>
      </c>
      <c r="V263" t="s">
        <v>45</v>
      </c>
      <c r="W263" t="s">
        <v>55</v>
      </c>
      <c r="X263" t="s">
        <v>297</v>
      </c>
      <c r="Z263">
        <v>500</v>
      </c>
      <c r="AA263" t="s">
        <v>44</v>
      </c>
      <c r="AB263">
        <v>1</v>
      </c>
      <c r="AD263">
        <v>2</v>
      </c>
      <c r="AE263">
        <v>53.4</v>
      </c>
      <c r="AF263">
        <v>27.5</v>
      </c>
      <c r="AG263">
        <v>35</v>
      </c>
      <c r="AH263">
        <v>0.05</v>
      </c>
      <c r="AI263">
        <v>14.36</v>
      </c>
    </row>
    <row r="264" hidden="1" spans="1:35">
      <c r="A264" t="s">
        <v>625</v>
      </c>
      <c r="B264" t="s">
        <v>626</v>
      </c>
      <c r="D264" t="s">
        <v>37</v>
      </c>
      <c r="F264">
        <v>1</v>
      </c>
      <c r="G264">
        <v>1</v>
      </c>
      <c r="K264">
        <v>1</v>
      </c>
      <c r="L264" t="s">
        <v>300</v>
      </c>
      <c r="M264" t="s">
        <v>136</v>
      </c>
      <c r="N264" t="s">
        <v>136</v>
      </c>
      <c r="O264">
        <v>1</v>
      </c>
      <c r="P264" t="s">
        <v>41</v>
      </c>
      <c r="Q264" t="s">
        <v>42</v>
      </c>
      <c r="R264" t="s">
        <v>43</v>
      </c>
      <c r="S264" t="s">
        <v>44</v>
      </c>
      <c r="T264" t="s">
        <v>44</v>
      </c>
      <c r="U264" t="s">
        <v>44</v>
      </c>
      <c r="V264" t="s">
        <v>45</v>
      </c>
      <c r="W264" t="s">
        <v>46</v>
      </c>
      <c r="X264" t="s">
        <v>297</v>
      </c>
      <c r="Z264">
        <v>0</v>
      </c>
      <c r="AA264" t="s">
        <v>44</v>
      </c>
      <c r="AB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hidden="1" spans="1:35">
      <c r="A265" t="s">
        <v>627</v>
      </c>
      <c r="B265" t="s">
        <v>628</v>
      </c>
      <c r="D265" t="s">
        <v>37</v>
      </c>
      <c r="F265">
        <v>1</v>
      </c>
      <c r="G265">
        <v>1</v>
      </c>
      <c r="K265">
        <v>1</v>
      </c>
      <c r="L265" t="s">
        <v>300</v>
      </c>
      <c r="M265" t="s">
        <v>136</v>
      </c>
      <c r="N265" t="s">
        <v>136</v>
      </c>
      <c r="O265">
        <v>1</v>
      </c>
      <c r="P265" t="s">
        <v>41</v>
      </c>
      <c r="Q265" t="s">
        <v>42</v>
      </c>
      <c r="R265" t="s">
        <v>43</v>
      </c>
      <c r="S265" t="s">
        <v>44</v>
      </c>
      <c r="T265" t="s">
        <v>44</v>
      </c>
      <c r="U265" t="s">
        <v>44</v>
      </c>
      <c r="V265" t="s">
        <v>45</v>
      </c>
      <c r="W265" t="s">
        <v>46</v>
      </c>
      <c r="X265" t="s">
        <v>297</v>
      </c>
      <c r="Z265">
        <v>0</v>
      </c>
      <c r="AA265" t="s">
        <v>44</v>
      </c>
      <c r="AB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hidden="1" spans="1:35">
      <c r="A266" t="s">
        <v>629</v>
      </c>
      <c r="B266" t="s">
        <v>630</v>
      </c>
      <c r="D266" t="s">
        <v>37</v>
      </c>
      <c r="F266">
        <v>1</v>
      </c>
      <c r="G266">
        <v>1</v>
      </c>
      <c r="K266">
        <v>1</v>
      </c>
      <c r="L266" t="s">
        <v>53</v>
      </c>
      <c r="M266">
        <v>10</v>
      </c>
      <c r="N266" t="s">
        <v>54</v>
      </c>
      <c r="O266">
        <v>10</v>
      </c>
      <c r="P266" t="s">
        <v>41</v>
      </c>
      <c r="Q266" t="s">
        <v>42</v>
      </c>
      <c r="R266" t="s">
        <v>43</v>
      </c>
      <c r="S266" t="s">
        <v>44</v>
      </c>
      <c r="T266" t="s">
        <v>44</v>
      </c>
      <c r="U266" t="s">
        <v>44</v>
      </c>
      <c r="V266" t="s">
        <v>45</v>
      </c>
      <c r="W266" t="s">
        <v>46</v>
      </c>
      <c r="X266" t="s">
        <v>297</v>
      </c>
      <c r="Z266" s="2">
        <v>1000</v>
      </c>
      <c r="AA266" t="s">
        <v>43</v>
      </c>
      <c r="AB266">
        <v>0</v>
      </c>
      <c r="AD266">
        <v>2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>
      <c r="A267" t="s">
        <v>631</v>
      </c>
      <c r="B267" t="s">
        <v>630</v>
      </c>
      <c r="D267" t="s">
        <v>37</v>
      </c>
      <c r="F267">
        <v>1</v>
      </c>
      <c r="G267">
        <v>1</v>
      </c>
      <c r="H267" t="s">
        <v>38</v>
      </c>
      <c r="K267">
        <v>15</v>
      </c>
      <c r="L267" t="s">
        <v>53</v>
      </c>
      <c r="M267">
        <v>15</v>
      </c>
      <c r="N267" t="s">
        <v>498</v>
      </c>
      <c r="O267">
        <v>15</v>
      </c>
      <c r="P267" t="s">
        <v>41</v>
      </c>
      <c r="Q267" t="s">
        <v>42</v>
      </c>
      <c r="R267" t="s">
        <v>43</v>
      </c>
      <c r="S267" t="s">
        <v>44</v>
      </c>
      <c r="T267" t="s">
        <v>44</v>
      </c>
      <c r="U267" t="s">
        <v>44</v>
      </c>
      <c r="V267" t="s">
        <v>45</v>
      </c>
      <c r="W267" t="s">
        <v>55</v>
      </c>
      <c r="X267" t="s">
        <v>297</v>
      </c>
      <c r="Z267" s="2">
        <v>1000</v>
      </c>
      <c r="AA267" t="s">
        <v>44</v>
      </c>
      <c r="AB267">
        <v>26</v>
      </c>
      <c r="AD267">
        <v>2</v>
      </c>
      <c r="AE267">
        <v>53.4</v>
      </c>
      <c r="AF267">
        <v>27.5</v>
      </c>
      <c r="AG267">
        <v>35</v>
      </c>
      <c r="AH267">
        <v>0.05</v>
      </c>
      <c r="AI267">
        <v>16.31</v>
      </c>
    </row>
    <row r="268" hidden="1" spans="1:35">
      <c r="A268" t="s">
        <v>632</v>
      </c>
      <c r="B268" t="s">
        <v>633</v>
      </c>
      <c r="D268" t="s">
        <v>37</v>
      </c>
      <c r="F268">
        <v>1</v>
      </c>
      <c r="G268">
        <v>1</v>
      </c>
      <c r="K268">
        <v>1</v>
      </c>
      <c r="L268" t="s">
        <v>53</v>
      </c>
      <c r="M268">
        <v>20</v>
      </c>
      <c r="N268" t="s">
        <v>64</v>
      </c>
      <c r="O268">
        <v>20</v>
      </c>
      <c r="P268" t="s">
        <v>41</v>
      </c>
      <c r="Q268" t="s">
        <v>42</v>
      </c>
      <c r="R268" t="s">
        <v>43</v>
      </c>
      <c r="S268" t="s">
        <v>44</v>
      </c>
      <c r="T268" t="s">
        <v>44</v>
      </c>
      <c r="U268" t="s">
        <v>44</v>
      </c>
      <c r="V268" t="s">
        <v>45</v>
      </c>
      <c r="W268" t="s">
        <v>46</v>
      </c>
      <c r="X268" t="s">
        <v>297</v>
      </c>
      <c r="Z268">
        <v>500</v>
      </c>
      <c r="AA268" t="s">
        <v>43</v>
      </c>
      <c r="AB268">
        <v>0</v>
      </c>
      <c r="AD268">
        <v>2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>
      <c r="A269" t="s">
        <v>634</v>
      </c>
      <c r="B269" t="s">
        <v>633</v>
      </c>
      <c r="D269" t="s">
        <v>37</v>
      </c>
      <c r="F269">
        <v>1</v>
      </c>
      <c r="G269">
        <v>1</v>
      </c>
      <c r="H269" t="s">
        <v>38</v>
      </c>
      <c r="K269">
        <v>26</v>
      </c>
      <c r="L269" t="s">
        <v>53</v>
      </c>
      <c r="M269">
        <v>26</v>
      </c>
      <c r="N269" t="s">
        <v>505</v>
      </c>
      <c r="O269">
        <v>26</v>
      </c>
      <c r="P269" t="s">
        <v>41</v>
      </c>
      <c r="Q269" t="s">
        <v>42</v>
      </c>
      <c r="R269" t="s">
        <v>43</v>
      </c>
      <c r="S269" t="s">
        <v>44</v>
      </c>
      <c r="T269" t="s">
        <v>44</v>
      </c>
      <c r="U269" t="s">
        <v>44</v>
      </c>
      <c r="V269" t="s">
        <v>45</v>
      </c>
      <c r="W269" t="s">
        <v>55</v>
      </c>
      <c r="X269" t="s">
        <v>297</v>
      </c>
      <c r="Z269">
        <v>500</v>
      </c>
      <c r="AA269" t="s">
        <v>44</v>
      </c>
      <c r="AB269">
        <v>0</v>
      </c>
      <c r="AD269">
        <v>2</v>
      </c>
      <c r="AE269">
        <v>53.4</v>
      </c>
      <c r="AF269">
        <v>27.5</v>
      </c>
      <c r="AG269">
        <v>35</v>
      </c>
      <c r="AH269">
        <v>0.05</v>
      </c>
      <c r="AI269">
        <v>14.36</v>
      </c>
    </row>
    <row r="270" hidden="1" spans="1:35">
      <c r="A270" t="s">
        <v>635</v>
      </c>
      <c r="B270" t="s">
        <v>636</v>
      </c>
      <c r="D270" t="s">
        <v>37</v>
      </c>
      <c r="F270">
        <v>1</v>
      </c>
      <c r="G270">
        <v>1</v>
      </c>
      <c r="K270">
        <v>1</v>
      </c>
      <c r="L270" t="s">
        <v>53</v>
      </c>
      <c r="M270">
        <v>10</v>
      </c>
      <c r="N270" t="s">
        <v>54</v>
      </c>
      <c r="O270">
        <v>10</v>
      </c>
      <c r="P270" t="s">
        <v>41</v>
      </c>
      <c r="Q270" t="s">
        <v>42</v>
      </c>
      <c r="R270" t="s">
        <v>43</v>
      </c>
      <c r="S270" t="s">
        <v>44</v>
      </c>
      <c r="T270" t="s">
        <v>44</v>
      </c>
      <c r="U270" t="s">
        <v>44</v>
      </c>
      <c r="V270" t="s">
        <v>45</v>
      </c>
      <c r="W270" t="s">
        <v>46</v>
      </c>
      <c r="X270" t="s">
        <v>297</v>
      </c>
      <c r="Z270" s="2">
        <v>1000</v>
      </c>
      <c r="AA270" t="s">
        <v>43</v>
      </c>
      <c r="AB270">
        <v>0</v>
      </c>
      <c r="AD270">
        <v>2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>
      <c r="A271" t="s">
        <v>637</v>
      </c>
      <c r="B271" t="s">
        <v>636</v>
      </c>
      <c r="D271" t="s">
        <v>37</v>
      </c>
      <c r="F271">
        <v>1</v>
      </c>
      <c r="G271">
        <v>1</v>
      </c>
      <c r="H271" t="s">
        <v>38</v>
      </c>
      <c r="K271">
        <v>15</v>
      </c>
      <c r="L271" t="s">
        <v>53</v>
      </c>
      <c r="M271">
        <v>15</v>
      </c>
      <c r="N271" t="s">
        <v>498</v>
      </c>
      <c r="O271">
        <v>15</v>
      </c>
      <c r="P271" t="s">
        <v>41</v>
      </c>
      <c r="Q271" t="s">
        <v>42</v>
      </c>
      <c r="R271" t="s">
        <v>43</v>
      </c>
      <c r="S271" t="s">
        <v>44</v>
      </c>
      <c r="T271" t="s">
        <v>44</v>
      </c>
      <c r="U271" t="s">
        <v>44</v>
      </c>
      <c r="V271" t="s">
        <v>45</v>
      </c>
      <c r="W271" t="s">
        <v>55</v>
      </c>
      <c r="X271" t="s">
        <v>297</v>
      </c>
      <c r="Z271" s="2">
        <v>1000</v>
      </c>
      <c r="AA271" t="s">
        <v>44</v>
      </c>
      <c r="AB271">
        <v>4</v>
      </c>
      <c r="AD271">
        <v>2</v>
      </c>
      <c r="AE271">
        <v>53.4</v>
      </c>
      <c r="AF271">
        <v>27.5</v>
      </c>
      <c r="AG271">
        <v>35</v>
      </c>
      <c r="AH271">
        <v>0.05</v>
      </c>
      <c r="AI271">
        <v>16.31</v>
      </c>
    </row>
    <row r="272" hidden="1" spans="1:35">
      <c r="A272" t="s">
        <v>638</v>
      </c>
      <c r="B272" t="s">
        <v>639</v>
      </c>
      <c r="D272" t="s">
        <v>37</v>
      </c>
      <c r="F272">
        <v>1</v>
      </c>
      <c r="G272">
        <v>1</v>
      </c>
      <c r="K272">
        <v>1</v>
      </c>
      <c r="L272" t="s">
        <v>53</v>
      </c>
      <c r="M272">
        <v>20</v>
      </c>
      <c r="N272" t="s">
        <v>64</v>
      </c>
      <c r="O272">
        <v>20</v>
      </c>
      <c r="P272" t="s">
        <v>41</v>
      </c>
      <c r="Q272" t="s">
        <v>42</v>
      </c>
      <c r="R272" t="s">
        <v>43</v>
      </c>
      <c r="S272" t="s">
        <v>44</v>
      </c>
      <c r="T272" t="s">
        <v>44</v>
      </c>
      <c r="U272" t="s">
        <v>44</v>
      </c>
      <c r="V272" t="s">
        <v>45</v>
      </c>
      <c r="W272" t="s">
        <v>46</v>
      </c>
      <c r="X272" t="s">
        <v>297</v>
      </c>
      <c r="Z272">
        <v>500</v>
      </c>
      <c r="AA272" t="s">
        <v>43</v>
      </c>
      <c r="AB272">
        <v>0</v>
      </c>
      <c r="AD272">
        <v>2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>
      <c r="A273" t="s">
        <v>640</v>
      </c>
      <c r="B273" t="s">
        <v>639</v>
      </c>
      <c r="D273" t="s">
        <v>37</v>
      </c>
      <c r="F273">
        <v>1</v>
      </c>
      <c r="G273">
        <v>1</v>
      </c>
      <c r="H273" t="s">
        <v>38</v>
      </c>
      <c r="K273">
        <v>26</v>
      </c>
      <c r="L273" t="s">
        <v>53</v>
      </c>
      <c r="M273">
        <v>26</v>
      </c>
      <c r="N273" t="s">
        <v>505</v>
      </c>
      <c r="O273">
        <v>26</v>
      </c>
      <c r="P273" t="s">
        <v>41</v>
      </c>
      <c r="Q273" t="s">
        <v>42</v>
      </c>
      <c r="R273" t="s">
        <v>43</v>
      </c>
      <c r="S273" t="s">
        <v>44</v>
      </c>
      <c r="T273" t="s">
        <v>44</v>
      </c>
      <c r="U273" t="s">
        <v>44</v>
      </c>
      <c r="V273" t="s">
        <v>45</v>
      </c>
      <c r="W273" t="s">
        <v>55</v>
      </c>
      <c r="X273" t="s">
        <v>297</v>
      </c>
      <c r="Z273">
        <v>500</v>
      </c>
      <c r="AA273" t="s">
        <v>44</v>
      </c>
      <c r="AB273">
        <v>0</v>
      </c>
      <c r="AD273">
        <v>2</v>
      </c>
      <c r="AE273">
        <v>53.4</v>
      </c>
      <c r="AF273">
        <v>27.5</v>
      </c>
      <c r="AG273">
        <v>35</v>
      </c>
      <c r="AH273">
        <v>0.05</v>
      </c>
      <c r="AI273">
        <v>14.36</v>
      </c>
    </row>
    <row r="274" hidden="1" spans="1:35">
      <c r="A274" t="s">
        <v>641</v>
      </c>
      <c r="B274" t="s">
        <v>642</v>
      </c>
      <c r="D274" t="s">
        <v>37</v>
      </c>
      <c r="F274">
        <v>1</v>
      </c>
      <c r="G274">
        <v>1</v>
      </c>
      <c r="K274">
        <v>1</v>
      </c>
      <c r="L274" t="s">
        <v>53</v>
      </c>
      <c r="M274">
        <v>10</v>
      </c>
      <c r="N274" t="s">
        <v>54</v>
      </c>
      <c r="O274">
        <v>10</v>
      </c>
      <c r="P274" t="s">
        <v>41</v>
      </c>
      <c r="Q274" t="s">
        <v>42</v>
      </c>
      <c r="R274" t="s">
        <v>43</v>
      </c>
      <c r="S274" t="s">
        <v>44</v>
      </c>
      <c r="T274" t="s">
        <v>44</v>
      </c>
      <c r="U274" t="s">
        <v>44</v>
      </c>
      <c r="V274" t="s">
        <v>45</v>
      </c>
      <c r="W274" t="s">
        <v>46</v>
      </c>
      <c r="X274" t="s">
        <v>297</v>
      </c>
      <c r="Z274" s="2">
        <v>1000</v>
      </c>
      <c r="AA274" t="s">
        <v>43</v>
      </c>
      <c r="AB274">
        <v>0</v>
      </c>
      <c r="AD274">
        <v>2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>
      <c r="A275" t="s">
        <v>643</v>
      </c>
      <c r="B275" t="s">
        <v>642</v>
      </c>
      <c r="D275" t="s">
        <v>37</v>
      </c>
      <c r="F275">
        <v>1</v>
      </c>
      <c r="G275">
        <v>1</v>
      </c>
      <c r="H275" t="s">
        <v>38</v>
      </c>
      <c r="K275">
        <v>15</v>
      </c>
      <c r="L275" t="s">
        <v>53</v>
      </c>
      <c r="M275">
        <v>15</v>
      </c>
      <c r="N275" t="s">
        <v>498</v>
      </c>
      <c r="O275">
        <v>15</v>
      </c>
      <c r="P275" t="s">
        <v>41</v>
      </c>
      <c r="Q275" t="s">
        <v>42</v>
      </c>
      <c r="R275" t="s">
        <v>43</v>
      </c>
      <c r="S275" t="s">
        <v>44</v>
      </c>
      <c r="T275" t="s">
        <v>44</v>
      </c>
      <c r="U275" t="s">
        <v>44</v>
      </c>
      <c r="V275" t="s">
        <v>45</v>
      </c>
      <c r="W275" t="s">
        <v>55</v>
      </c>
      <c r="X275" t="s">
        <v>297</v>
      </c>
      <c r="Z275" s="2">
        <v>1000</v>
      </c>
      <c r="AA275" t="s">
        <v>44</v>
      </c>
      <c r="AB275">
        <v>0</v>
      </c>
      <c r="AD275">
        <v>2</v>
      </c>
      <c r="AE275">
        <v>53.4</v>
      </c>
      <c r="AF275">
        <v>27.5</v>
      </c>
      <c r="AG275">
        <v>35</v>
      </c>
      <c r="AH275">
        <v>0.05</v>
      </c>
      <c r="AI275">
        <v>16.31</v>
      </c>
    </row>
    <row r="276" hidden="1" spans="1:35">
      <c r="A276" t="s">
        <v>644</v>
      </c>
      <c r="B276" t="s">
        <v>645</v>
      </c>
      <c r="D276" t="s">
        <v>37</v>
      </c>
      <c r="F276">
        <v>1</v>
      </c>
      <c r="G276">
        <v>1</v>
      </c>
      <c r="K276">
        <v>1</v>
      </c>
      <c r="L276" t="s">
        <v>53</v>
      </c>
      <c r="M276">
        <v>20</v>
      </c>
      <c r="N276" t="s">
        <v>64</v>
      </c>
      <c r="O276">
        <v>20</v>
      </c>
      <c r="P276" t="s">
        <v>41</v>
      </c>
      <c r="Q276" t="s">
        <v>42</v>
      </c>
      <c r="R276" t="s">
        <v>43</v>
      </c>
      <c r="S276" t="s">
        <v>44</v>
      </c>
      <c r="T276" t="s">
        <v>44</v>
      </c>
      <c r="U276" t="s">
        <v>44</v>
      </c>
      <c r="V276" t="s">
        <v>45</v>
      </c>
      <c r="W276" t="s">
        <v>46</v>
      </c>
      <c r="X276" t="s">
        <v>297</v>
      </c>
      <c r="Z276">
        <v>500</v>
      </c>
      <c r="AA276" t="s">
        <v>43</v>
      </c>
      <c r="AB276">
        <v>0</v>
      </c>
      <c r="AD276">
        <v>2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>
      <c r="A277" t="s">
        <v>646</v>
      </c>
      <c r="B277" t="s">
        <v>645</v>
      </c>
      <c r="D277" t="s">
        <v>37</v>
      </c>
      <c r="F277">
        <v>1</v>
      </c>
      <c r="G277">
        <v>1</v>
      </c>
      <c r="H277" t="s">
        <v>38</v>
      </c>
      <c r="K277">
        <v>26</v>
      </c>
      <c r="L277" t="s">
        <v>53</v>
      </c>
      <c r="M277">
        <v>26</v>
      </c>
      <c r="N277" t="s">
        <v>505</v>
      </c>
      <c r="O277">
        <v>26</v>
      </c>
      <c r="P277" t="s">
        <v>41</v>
      </c>
      <c r="Q277" t="s">
        <v>42</v>
      </c>
      <c r="R277" t="s">
        <v>43</v>
      </c>
      <c r="S277" t="s">
        <v>44</v>
      </c>
      <c r="T277" t="s">
        <v>44</v>
      </c>
      <c r="U277" t="s">
        <v>44</v>
      </c>
      <c r="V277" t="s">
        <v>45</v>
      </c>
      <c r="W277" t="s">
        <v>55</v>
      </c>
      <c r="X277" t="s">
        <v>297</v>
      </c>
      <c r="Z277">
        <v>500</v>
      </c>
      <c r="AA277" t="s">
        <v>44</v>
      </c>
      <c r="AB277">
        <v>0</v>
      </c>
      <c r="AD277">
        <v>2</v>
      </c>
      <c r="AE277">
        <v>53.4</v>
      </c>
      <c r="AF277">
        <v>27.5</v>
      </c>
      <c r="AG277">
        <v>35</v>
      </c>
      <c r="AH277">
        <v>0.05</v>
      </c>
      <c r="AI277">
        <v>14.36</v>
      </c>
    </row>
    <row r="278" hidden="1" spans="1:35">
      <c r="A278" t="s">
        <v>647</v>
      </c>
      <c r="B278" t="s">
        <v>648</v>
      </c>
      <c r="D278" t="s">
        <v>37</v>
      </c>
      <c r="F278">
        <v>1</v>
      </c>
      <c r="G278">
        <v>1</v>
      </c>
      <c r="K278">
        <v>1</v>
      </c>
      <c r="L278" t="s">
        <v>53</v>
      </c>
      <c r="M278">
        <v>10</v>
      </c>
      <c r="N278" t="s">
        <v>54</v>
      </c>
      <c r="O278">
        <v>10</v>
      </c>
      <c r="P278" t="s">
        <v>41</v>
      </c>
      <c r="Q278" t="s">
        <v>42</v>
      </c>
      <c r="R278" t="s">
        <v>43</v>
      </c>
      <c r="S278" t="s">
        <v>44</v>
      </c>
      <c r="T278" t="s">
        <v>44</v>
      </c>
      <c r="U278" t="s">
        <v>44</v>
      </c>
      <c r="V278" t="s">
        <v>45</v>
      </c>
      <c r="W278" t="s">
        <v>46</v>
      </c>
      <c r="X278" t="s">
        <v>297</v>
      </c>
      <c r="Z278" s="2">
        <v>1000</v>
      </c>
      <c r="AA278" t="s">
        <v>43</v>
      </c>
      <c r="AB278">
        <v>0</v>
      </c>
      <c r="AD278">
        <v>2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>
      <c r="A279" t="s">
        <v>649</v>
      </c>
      <c r="B279" t="s">
        <v>648</v>
      </c>
      <c r="D279" t="s">
        <v>37</v>
      </c>
      <c r="F279">
        <v>1</v>
      </c>
      <c r="G279">
        <v>1</v>
      </c>
      <c r="H279" t="s">
        <v>38</v>
      </c>
      <c r="K279">
        <v>15</v>
      </c>
      <c r="L279" t="s">
        <v>53</v>
      </c>
      <c r="M279">
        <v>15</v>
      </c>
      <c r="N279" t="s">
        <v>498</v>
      </c>
      <c r="O279">
        <v>15</v>
      </c>
      <c r="P279" t="s">
        <v>41</v>
      </c>
      <c r="Q279" t="s">
        <v>42</v>
      </c>
      <c r="R279" t="s">
        <v>43</v>
      </c>
      <c r="S279" t="s">
        <v>44</v>
      </c>
      <c r="T279" t="s">
        <v>44</v>
      </c>
      <c r="U279" t="s">
        <v>44</v>
      </c>
      <c r="V279" t="s">
        <v>45</v>
      </c>
      <c r="W279" t="s">
        <v>55</v>
      </c>
      <c r="X279" t="s">
        <v>297</v>
      </c>
      <c r="Z279" s="2">
        <v>1000</v>
      </c>
      <c r="AA279" t="s">
        <v>44</v>
      </c>
      <c r="AB279">
        <v>3</v>
      </c>
      <c r="AD279">
        <v>2</v>
      </c>
      <c r="AE279">
        <v>53.4</v>
      </c>
      <c r="AF279">
        <v>27.5</v>
      </c>
      <c r="AG279">
        <v>35</v>
      </c>
      <c r="AH279">
        <v>0.05</v>
      </c>
      <c r="AI279">
        <v>16.31</v>
      </c>
    </row>
    <row r="280" hidden="1" spans="1:35">
      <c r="A280" t="s">
        <v>650</v>
      </c>
      <c r="B280" t="s">
        <v>651</v>
      </c>
      <c r="D280" t="s">
        <v>37</v>
      </c>
      <c r="F280">
        <v>1</v>
      </c>
      <c r="G280">
        <v>1</v>
      </c>
      <c r="K280">
        <v>1</v>
      </c>
      <c r="L280" t="s">
        <v>53</v>
      </c>
      <c r="M280">
        <v>20</v>
      </c>
      <c r="N280" t="s">
        <v>64</v>
      </c>
      <c r="O280">
        <v>20</v>
      </c>
      <c r="P280" t="s">
        <v>41</v>
      </c>
      <c r="Q280" t="s">
        <v>42</v>
      </c>
      <c r="R280" t="s">
        <v>43</v>
      </c>
      <c r="S280" t="s">
        <v>44</v>
      </c>
      <c r="T280" t="s">
        <v>44</v>
      </c>
      <c r="U280" t="s">
        <v>44</v>
      </c>
      <c r="V280" t="s">
        <v>45</v>
      </c>
      <c r="W280" t="s">
        <v>46</v>
      </c>
      <c r="X280" t="s">
        <v>297</v>
      </c>
      <c r="Z280">
        <v>500</v>
      </c>
      <c r="AA280" t="s">
        <v>43</v>
      </c>
      <c r="AB280">
        <v>0</v>
      </c>
      <c r="AD280">
        <v>2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>
      <c r="A281" t="s">
        <v>652</v>
      </c>
      <c r="B281" t="s">
        <v>651</v>
      </c>
      <c r="D281" t="s">
        <v>37</v>
      </c>
      <c r="F281">
        <v>1</v>
      </c>
      <c r="G281">
        <v>1</v>
      </c>
      <c r="H281" t="s">
        <v>38</v>
      </c>
      <c r="K281">
        <v>26</v>
      </c>
      <c r="L281" t="s">
        <v>53</v>
      </c>
      <c r="M281">
        <v>26</v>
      </c>
      <c r="N281" t="s">
        <v>505</v>
      </c>
      <c r="O281">
        <v>26</v>
      </c>
      <c r="P281" t="s">
        <v>41</v>
      </c>
      <c r="Q281" t="s">
        <v>42</v>
      </c>
      <c r="R281" t="s">
        <v>43</v>
      </c>
      <c r="S281" t="s">
        <v>44</v>
      </c>
      <c r="T281" t="s">
        <v>44</v>
      </c>
      <c r="U281" t="s">
        <v>44</v>
      </c>
      <c r="V281" t="s">
        <v>45</v>
      </c>
      <c r="W281" t="s">
        <v>55</v>
      </c>
      <c r="X281" t="s">
        <v>297</v>
      </c>
      <c r="Z281">
        <v>500</v>
      </c>
      <c r="AA281" t="s">
        <v>44</v>
      </c>
      <c r="AB281">
        <v>0</v>
      </c>
      <c r="AD281">
        <v>2</v>
      </c>
      <c r="AE281">
        <v>53.4</v>
      </c>
      <c r="AF281">
        <v>27.5</v>
      </c>
      <c r="AG281">
        <v>35</v>
      </c>
      <c r="AH281">
        <v>0.05</v>
      </c>
      <c r="AI281">
        <v>14.36</v>
      </c>
    </row>
    <row r="282" hidden="1" spans="1:35">
      <c r="A282" t="s">
        <v>653</v>
      </c>
      <c r="B282" t="s">
        <v>654</v>
      </c>
      <c r="D282" t="s">
        <v>37</v>
      </c>
      <c r="F282">
        <v>1</v>
      </c>
      <c r="G282">
        <v>1</v>
      </c>
      <c r="K282">
        <v>1</v>
      </c>
      <c r="L282" t="s">
        <v>53</v>
      </c>
      <c r="M282">
        <v>10</v>
      </c>
      <c r="N282" t="s">
        <v>54</v>
      </c>
      <c r="O282">
        <v>10</v>
      </c>
      <c r="P282" t="s">
        <v>41</v>
      </c>
      <c r="Q282" t="s">
        <v>42</v>
      </c>
      <c r="R282" t="s">
        <v>43</v>
      </c>
      <c r="S282" t="s">
        <v>44</v>
      </c>
      <c r="T282" t="s">
        <v>44</v>
      </c>
      <c r="U282" t="s">
        <v>44</v>
      </c>
      <c r="V282" t="s">
        <v>45</v>
      </c>
      <c r="W282" t="s">
        <v>46</v>
      </c>
      <c r="X282" t="s">
        <v>297</v>
      </c>
      <c r="Z282" s="2">
        <v>1000</v>
      </c>
      <c r="AA282" t="s">
        <v>43</v>
      </c>
      <c r="AB282">
        <v>0</v>
      </c>
      <c r="AD282">
        <v>2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>
      <c r="A283" t="s">
        <v>655</v>
      </c>
      <c r="B283" t="s">
        <v>654</v>
      </c>
      <c r="D283" t="s">
        <v>37</v>
      </c>
      <c r="F283">
        <v>1</v>
      </c>
      <c r="G283">
        <v>1</v>
      </c>
      <c r="H283" t="s">
        <v>38</v>
      </c>
      <c r="K283">
        <v>15</v>
      </c>
      <c r="L283" t="s">
        <v>53</v>
      </c>
      <c r="M283">
        <v>15</v>
      </c>
      <c r="N283" t="s">
        <v>498</v>
      </c>
      <c r="O283">
        <v>15</v>
      </c>
      <c r="P283" t="s">
        <v>41</v>
      </c>
      <c r="Q283" t="s">
        <v>42</v>
      </c>
      <c r="R283" t="s">
        <v>43</v>
      </c>
      <c r="S283" t="s">
        <v>44</v>
      </c>
      <c r="T283" t="s">
        <v>44</v>
      </c>
      <c r="U283" t="s">
        <v>44</v>
      </c>
      <c r="V283" t="s">
        <v>45</v>
      </c>
      <c r="W283" t="s">
        <v>55</v>
      </c>
      <c r="X283" t="s">
        <v>297</v>
      </c>
      <c r="Z283" s="2">
        <v>1000</v>
      </c>
      <c r="AA283" t="s">
        <v>44</v>
      </c>
      <c r="AB283">
        <v>2</v>
      </c>
      <c r="AD283">
        <v>2</v>
      </c>
      <c r="AE283">
        <v>53.4</v>
      </c>
      <c r="AF283">
        <v>27.5</v>
      </c>
      <c r="AG283">
        <v>35</v>
      </c>
      <c r="AH283">
        <v>0.05</v>
      </c>
      <c r="AI283">
        <v>16.31</v>
      </c>
    </row>
    <row r="284" hidden="1" spans="1:35">
      <c r="A284" t="s">
        <v>656</v>
      </c>
      <c r="B284" t="s">
        <v>657</v>
      </c>
      <c r="D284" t="s">
        <v>37</v>
      </c>
      <c r="F284">
        <v>1</v>
      </c>
      <c r="G284">
        <v>1</v>
      </c>
      <c r="K284">
        <v>1</v>
      </c>
      <c r="L284" t="s">
        <v>53</v>
      </c>
      <c r="M284">
        <v>20</v>
      </c>
      <c r="N284" t="s">
        <v>64</v>
      </c>
      <c r="O284">
        <v>20</v>
      </c>
      <c r="P284" t="s">
        <v>41</v>
      </c>
      <c r="Q284" t="s">
        <v>42</v>
      </c>
      <c r="R284" t="s">
        <v>43</v>
      </c>
      <c r="S284" t="s">
        <v>44</v>
      </c>
      <c r="T284" t="s">
        <v>44</v>
      </c>
      <c r="U284" t="s">
        <v>44</v>
      </c>
      <c r="V284" t="s">
        <v>45</v>
      </c>
      <c r="W284" t="s">
        <v>46</v>
      </c>
      <c r="X284" t="s">
        <v>297</v>
      </c>
      <c r="Z284">
        <v>500</v>
      </c>
      <c r="AA284" t="s">
        <v>43</v>
      </c>
      <c r="AB284">
        <v>0</v>
      </c>
      <c r="AD284">
        <v>2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>
      <c r="A285" t="s">
        <v>658</v>
      </c>
      <c r="B285" t="s">
        <v>657</v>
      </c>
      <c r="D285" t="s">
        <v>37</v>
      </c>
      <c r="F285">
        <v>1</v>
      </c>
      <c r="G285">
        <v>1</v>
      </c>
      <c r="H285" t="s">
        <v>38</v>
      </c>
      <c r="K285">
        <v>26</v>
      </c>
      <c r="L285" t="s">
        <v>53</v>
      </c>
      <c r="M285">
        <v>26</v>
      </c>
      <c r="N285" t="s">
        <v>505</v>
      </c>
      <c r="O285">
        <v>26</v>
      </c>
      <c r="P285" t="s">
        <v>41</v>
      </c>
      <c r="Q285" t="s">
        <v>42</v>
      </c>
      <c r="R285" t="s">
        <v>43</v>
      </c>
      <c r="S285" t="s">
        <v>44</v>
      </c>
      <c r="T285" t="s">
        <v>44</v>
      </c>
      <c r="U285" t="s">
        <v>44</v>
      </c>
      <c r="V285" t="s">
        <v>45</v>
      </c>
      <c r="W285" t="s">
        <v>55</v>
      </c>
      <c r="X285" t="s">
        <v>297</v>
      </c>
      <c r="Z285">
        <v>500</v>
      </c>
      <c r="AA285" t="s">
        <v>44</v>
      </c>
      <c r="AB285">
        <v>0</v>
      </c>
      <c r="AD285">
        <v>2</v>
      </c>
      <c r="AE285">
        <v>53.4</v>
      </c>
      <c r="AF285">
        <v>27.5</v>
      </c>
      <c r="AG285">
        <v>35</v>
      </c>
      <c r="AH285">
        <v>0.05</v>
      </c>
      <c r="AI285">
        <v>14.36</v>
      </c>
    </row>
    <row r="286" hidden="1" spans="1:35">
      <c r="A286" t="s">
        <v>659</v>
      </c>
      <c r="B286" t="s">
        <v>660</v>
      </c>
      <c r="D286" t="s">
        <v>37</v>
      </c>
      <c r="F286">
        <v>1</v>
      </c>
      <c r="G286">
        <v>1</v>
      </c>
      <c r="H286" t="s">
        <v>135</v>
      </c>
      <c r="K286">
        <v>1</v>
      </c>
      <c r="L286" t="s">
        <v>135</v>
      </c>
      <c r="M286" t="s">
        <v>136</v>
      </c>
      <c r="N286" t="s">
        <v>136</v>
      </c>
      <c r="O286">
        <v>25</v>
      </c>
      <c r="P286" t="s">
        <v>41</v>
      </c>
      <c r="Q286" t="s">
        <v>42</v>
      </c>
      <c r="R286" t="s">
        <v>43</v>
      </c>
      <c r="S286" t="s">
        <v>44</v>
      </c>
      <c r="T286" t="s">
        <v>44</v>
      </c>
      <c r="U286" t="s">
        <v>44</v>
      </c>
      <c r="V286" t="s">
        <v>45</v>
      </c>
      <c r="W286" t="s">
        <v>162</v>
      </c>
      <c r="X286" t="s">
        <v>297</v>
      </c>
      <c r="Z286" s="2">
        <v>1000</v>
      </c>
      <c r="AA286" t="s">
        <v>44</v>
      </c>
      <c r="AB286">
        <v>0</v>
      </c>
      <c r="AD286">
        <v>2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hidden="1" spans="1:35">
      <c r="A287" t="s">
        <v>661</v>
      </c>
      <c r="B287" t="s">
        <v>662</v>
      </c>
      <c r="D287" t="s">
        <v>37</v>
      </c>
      <c r="F287">
        <v>1</v>
      </c>
      <c r="G287">
        <v>1</v>
      </c>
      <c r="K287">
        <v>1</v>
      </c>
      <c r="L287" t="s">
        <v>53</v>
      </c>
      <c r="M287">
        <v>4</v>
      </c>
      <c r="N287" t="s">
        <v>174</v>
      </c>
      <c r="O287">
        <v>4</v>
      </c>
      <c r="P287" t="s">
        <v>41</v>
      </c>
      <c r="Q287" t="s">
        <v>42</v>
      </c>
      <c r="R287" t="s">
        <v>43</v>
      </c>
      <c r="S287" t="s">
        <v>44</v>
      </c>
      <c r="T287" t="s">
        <v>44</v>
      </c>
      <c r="U287" t="s">
        <v>44</v>
      </c>
      <c r="V287" t="s">
        <v>45</v>
      </c>
      <c r="W287" t="s">
        <v>162</v>
      </c>
      <c r="X287" t="s">
        <v>297</v>
      </c>
      <c r="Z287">
        <v>800</v>
      </c>
      <c r="AA287" t="s">
        <v>44</v>
      </c>
      <c r="AB287">
        <v>0</v>
      </c>
      <c r="AD287">
        <v>2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hidden="1" spans="1:35">
      <c r="A288" t="s">
        <v>663</v>
      </c>
      <c r="B288" t="s">
        <v>664</v>
      </c>
      <c r="D288" t="s">
        <v>37</v>
      </c>
      <c r="F288">
        <v>1</v>
      </c>
      <c r="G288">
        <v>1</v>
      </c>
      <c r="H288" t="s">
        <v>135</v>
      </c>
      <c r="K288">
        <v>1</v>
      </c>
      <c r="L288" t="s">
        <v>135</v>
      </c>
      <c r="M288" t="s">
        <v>136</v>
      </c>
      <c r="N288" t="s">
        <v>136</v>
      </c>
      <c r="O288">
        <v>25</v>
      </c>
      <c r="P288" t="s">
        <v>41</v>
      </c>
      <c r="Q288" t="s">
        <v>42</v>
      </c>
      <c r="R288" t="s">
        <v>43</v>
      </c>
      <c r="S288" t="s">
        <v>44</v>
      </c>
      <c r="T288" t="s">
        <v>44</v>
      </c>
      <c r="U288" t="s">
        <v>44</v>
      </c>
      <c r="V288" t="s">
        <v>45</v>
      </c>
      <c r="W288" t="s">
        <v>162</v>
      </c>
      <c r="X288" t="s">
        <v>297</v>
      </c>
      <c r="Z288" s="2">
        <v>1000</v>
      </c>
      <c r="AA288" t="s">
        <v>44</v>
      </c>
      <c r="AB288">
        <v>0</v>
      </c>
      <c r="AD288">
        <v>2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hidden="1" spans="1:35">
      <c r="A289" t="s">
        <v>665</v>
      </c>
      <c r="B289" t="s">
        <v>666</v>
      </c>
      <c r="D289" t="s">
        <v>37</v>
      </c>
      <c r="F289">
        <v>1</v>
      </c>
      <c r="G289">
        <v>1</v>
      </c>
      <c r="K289">
        <v>1</v>
      </c>
      <c r="L289" t="s">
        <v>53</v>
      </c>
      <c r="M289">
        <v>4</v>
      </c>
      <c r="N289" t="s">
        <v>174</v>
      </c>
      <c r="O289">
        <v>4</v>
      </c>
      <c r="P289" t="s">
        <v>41</v>
      </c>
      <c r="Q289" t="s">
        <v>42</v>
      </c>
      <c r="R289" t="s">
        <v>43</v>
      </c>
      <c r="S289" t="s">
        <v>44</v>
      </c>
      <c r="T289" t="s">
        <v>44</v>
      </c>
      <c r="U289" t="s">
        <v>44</v>
      </c>
      <c r="V289" t="s">
        <v>45</v>
      </c>
      <c r="W289" t="s">
        <v>162</v>
      </c>
      <c r="X289" t="s">
        <v>297</v>
      </c>
      <c r="Z289">
        <v>800</v>
      </c>
      <c r="AA289" t="s">
        <v>44</v>
      </c>
      <c r="AB289">
        <v>5</v>
      </c>
      <c r="AD289">
        <v>2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>
      <c r="A290" t="s">
        <v>667</v>
      </c>
      <c r="B290" t="s">
        <v>668</v>
      </c>
      <c r="D290" t="s">
        <v>37</v>
      </c>
      <c r="F290">
        <v>1</v>
      </c>
      <c r="G290">
        <v>1</v>
      </c>
      <c r="H290" t="s">
        <v>38</v>
      </c>
      <c r="K290">
        <v>12</v>
      </c>
      <c r="L290" t="s">
        <v>39</v>
      </c>
      <c r="M290">
        <v>12</v>
      </c>
      <c r="N290" t="s">
        <v>476</v>
      </c>
      <c r="O290">
        <v>1</v>
      </c>
      <c r="P290" t="s">
        <v>41</v>
      </c>
      <c r="Q290" t="s">
        <v>42</v>
      </c>
      <c r="R290" t="s">
        <v>43</v>
      </c>
      <c r="S290" t="s">
        <v>44</v>
      </c>
      <c r="T290" t="s">
        <v>44</v>
      </c>
      <c r="U290" t="s">
        <v>44</v>
      </c>
      <c r="V290" t="s">
        <v>45</v>
      </c>
      <c r="W290" t="s">
        <v>151</v>
      </c>
      <c r="X290" t="s">
        <v>297</v>
      </c>
      <c r="Z290">
        <v>225</v>
      </c>
      <c r="AA290" t="s">
        <v>44</v>
      </c>
      <c r="AB290">
        <v>0</v>
      </c>
      <c r="AD290">
        <v>2</v>
      </c>
      <c r="AE290">
        <v>39.6</v>
      </c>
      <c r="AF290">
        <v>28.4</v>
      </c>
      <c r="AG290">
        <v>22.1</v>
      </c>
      <c r="AH290">
        <v>0.02</v>
      </c>
      <c r="AI290" s="2">
        <v>2700</v>
      </c>
    </row>
    <row r="291" spans="1:35">
      <c r="A291" t="s">
        <v>669</v>
      </c>
      <c r="B291" t="s">
        <v>670</v>
      </c>
      <c r="D291" t="s">
        <v>37</v>
      </c>
      <c r="F291">
        <v>1</v>
      </c>
      <c r="G291">
        <v>1</v>
      </c>
      <c r="H291" t="s">
        <v>38</v>
      </c>
      <c r="K291">
        <v>12</v>
      </c>
      <c r="L291" t="s">
        <v>39</v>
      </c>
      <c r="M291">
        <v>12</v>
      </c>
      <c r="N291" t="s">
        <v>476</v>
      </c>
      <c r="O291">
        <v>1</v>
      </c>
      <c r="P291" t="s">
        <v>41</v>
      </c>
      <c r="Q291" t="s">
        <v>42</v>
      </c>
      <c r="R291" t="s">
        <v>43</v>
      </c>
      <c r="S291" t="s">
        <v>44</v>
      </c>
      <c r="T291" t="s">
        <v>44</v>
      </c>
      <c r="U291" t="s">
        <v>44</v>
      </c>
      <c r="V291" t="s">
        <v>45</v>
      </c>
      <c r="W291" t="s">
        <v>151</v>
      </c>
      <c r="X291" t="s">
        <v>297</v>
      </c>
      <c r="Z291">
        <v>225</v>
      </c>
      <c r="AA291" t="s">
        <v>44</v>
      </c>
      <c r="AB291">
        <v>0</v>
      </c>
      <c r="AD291">
        <v>2</v>
      </c>
      <c r="AE291">
        <v>39.6</v>
      </c>
      <c r="AF291">
        <v>28.4</v>
      </c>
      <c r="AG291">
        <v>22.1</v>
      </c>
      <c r="AH291">
        <v>0.02</v>
      </c>
      <c r="AI291" s="2">
        <v>2700</v>
      </c>
    </row>
    <row r="292" spans="1:35">
      <c r="A292" t="s">
        <v>671</v>
      </c>
      <c r="B292" t="s">
        <v>672</v>
      </c>
      <c r="D292" t="s">
        <v>37</v>
      </c>
      <c r="F292">
        <v>1</v>
      </c>
      <c r="G292">
        <v>1</v>
      </c>
      <c r="H292" t="s">
        <v>38</v>
      </c>
      <c r="K292">
        <v>12</v>
      </c>
      <c r="L292" t="s">
        <v>39</v>
      </c>
      <c r="M292">
        <v>12</v>
      </c>
      <c r="N292" t="s">
        <v>476</v>
      </c>
      <c r="O292">
        <v>1</v>
      </c>
      <c r="P292" t="s">
        <v>41</v>
      </c>
      <c r="Q292" t="s">
        <v>42</v>
      </c>
      <c r="R292" t="s">
        <v>43</v>
      </c>
      <c r="S292" t="s">
        <v>44</v>
      </c>
      <c r="T292" t="s">
        <v>44</v>
      </c>
      <c r="U292" t="s">
        <v>44</v>
      </c>
      <c r="V292" t="s">
        <v>45</v>
      </c>
      <c r="W292" t="s">
        <v>151</v>
      </c>
      <c r="X292" t="s">
        <v>297</v>
      </c>
      <c r="Z292">
        <v>405</v>
      </c>
      <c r="AA292" t="s">
        <v>44</v>
      </c>
      <c r="AB292">
        <v>0</v>
      </c>
      <c r="AD292">
        <v>2</v>
      </c>
      <c r="AE292">
        <v>39.6</v>
      </c>
      <c r="AF292">
        <v>28.4</v>
      </c>
      <c r="AG292">
        <v>22.1</v>
      </c>
      <c r="AH292">
        <v>0.02</v>
      </c>
      <c r="AI292" s="2">
        <v>4860</v>
      </c>
    </row>
    <row r="293" spans="1:35">
      <c r="A293" t="s">
        <v>673</v>
      </c>
      <c r="B293" t="s">
        <v>674</v>
      </c>
      <c r="D293" t="s">
        <v>37</v>
      </c>
      <c r="F293">
        <v>1</v>
      </c>
      <c r="G293">
        <v>1</v>
      </c>
      <c r="H293" t="s">
        <v>38</v>
      </c>
      <c r="K293">
        <v>12</v>
      </c>
      <c r="L293" t="s">
        <v>39</v>
      </c>
      <c r="M293">
        <v>12</v>
      </c>
      <c r="N293" t="s">
        <v>476</v>
      </c>
      <c r="O293">
        <v>1</v>
      </c>
      <c r="P293" t="s">
        <v>41</v>
      </c>
      <c r="Q293" t="s">
        <v>42</v>
      </c>
      <c r="R293" t="s">
        <v>43</v>
      </c>
      <c r="S293" t="s">
        <v>44</v>
      </c>
      <c r="T293" t="s">
        <v>44</v>
      </c>
      <c r="U293" t="s">
        <v>44</v>
      </c>
      <c r="V293" t="s">
        <v>45</v>
      </c>
      <c r="W293" t="s">
        <v>151</v>
      </c>
      <c r="X293" t="s">
        <v>297</v>
      </c>
      <c r="Z293">
        <v>450</v>
      </c>
      <c r="AA293" t="s">
        <v>44</v>
      </c>
      <c r="AB293">
        <v>0</v>
      </c>
      <c r="AD293">
        <v>2</v>
      </c>
      <c r="AE293">
        <v>39.6</v>
      </c>
      <c r="AF293">
        <v>28.4</v>
      </c>
      <c r="AG293">
        <v>22.1</v>
      </c>
      <c r="AH293">
        <v>0.02</v>
      </c>
      <c r="AI293" s="2">
        <v>5400</v>
      </c>
    </row>
    <row r="294" spans="1:35">
      <c r="A294" t="s">
        <v>675</v>
      </c>
      <c r="B294" t="s">
        <v>676</v>
      </c>
      <c r="D294" t="s">
        <v>37</v>
      </c>
      <c r="F294">
        <v>1</v>
      </c>
      <c r="G294">
        <v>1</v>
      </c>
      <c r="H294" t="s">
        <v>38</v>
      </c>
      <c r="K294">
        <v>12</v>
      </c>
      <c r="L294" t="s">
        <v>39</v>
      </c>
      <c r="M294">
        <v>12</v>
      </c>
      <c r="N294" t="s">
        <v>476</v>
      </c>
      <c r="O294">
        <v>1</v>
      </c>
      <c r="P294" t="s">
        <v>41</v>
      </c>
      <c r="Q294" t="s">
        <v>42</v>
      </c>
      <c r="R294" t="s">
        <v>43</v>
      </c>
      <c r="S294" t="s">
        <v>44</v>
      </c>
      <c r="T294" t="s">
        <v>44</v>
      </c>
      <c r="U294" t="s">
        <v>44</v>
      </c>
      <c r="V294" t="s">
        <v>45</v>
      </c>
      <c r="W294" t="s">
        <v>151</v>
      </c>
      <c r="X294" t="s">
        <v>297</v>
      </c>
      <c r="Z294">
        <v>450</v>
      </c>
      <c r="AA294" t="s">
        <v>44</v>
      </c>
      <c r="AB294">
        <v>0</v>
      </c>
      <c r="AD294">
        <v>2</v>
      </c>
      <c r="AE294">
        <v>39.6</v>
      </c>
      <c r="AF294">
        <v>28.4</v>
      </c>
      <c r="AG294">
        <v>22.1</v>
      </c>
      <c r="AH294">
        <v>0.02</v>
      </c>
      <c r="AI294" s="2">
        <v>5400</v>
      </c>
    </row>
    <row r="295" spans="1:35">
      <c r="A295" t="s">
        <v>677</v>
      </c>
      <c r="B295" t="s">
        <v>678</v>
      </c>
      <c r="D295" t="s">
        <v>37</v>
      </c>
      <c r="F295">
        <v>1</v>
      </c>
      <c r="G295">
        <v>1</v>
      </c>
      <c r="H295" t="s">
        <v>38</v>
      </c>
      <c r="K295">
        <v>12</v>
      </c>
      <c r="L295" t="s">
        <v>39</v>
      </c>
      <c r="M295">
        <v>12</v>
      </c>
      <c r="N295" t="s">
        <v>476</v>
      </c>
      <c r="O295">
        <v>1</v>
      </c>
      <c r="P295" t="s">
        <v>41</v>
      </c>
      <c r="Q295" t="s">
        <v>42</v>
      </c>
      <c r="R295" t="s">
        <v>43</v>
      </c>
      <c r="S295" t="s">
        <v>44</v>
      </c>
      <c r="T295" t="s">
        <v>44</v>
      </c>
      <c r="U295" t="s">
        <v>44</v>
      </c>
      <c r="V295" t="s">
        <v>45</v>
      </c>
      <c r="W295" t="s">
        <v>151</v>
      </c>
      <c r="X295" t="s">
        <v>297</v>
      </c>
      <c r="Z295">
        <v>225</v>
      </c>
      <c r="AA295" t="s">
        <v>44</v>
      </c>
      <c r="AB295">
        <v>0</v>
      </c>
      <c r="AD295">
        <v>2</v>
      </c>
      <c r="AE295">
        <v>39.6</v>
      </c>
      <c r="AF295">
        <v>28.4</v>
      </c>
      <c r="AG295">
        <v>22.1</v>
      </c>
      <c r="AH295">
        <v>0.02</v>
      </c>
      <c r="AI295" s="2">
        <v>2700</v>
      </c>
    </row>
    <row r="296" hidden="1" spans="1:35">
      <c r="A296" t="s">
        <v>679</v>
      </c>
      <c r="B296" t="s">
        <v>680</v>
      </c>
      <c r="D296" t="s">
        <v>37</v>
      </c>
      <c r="F296">
        <v>1</v>
      </c>
      <c r="G296">
        <v>1</v>
      </c>
      <c r="K296">
        <v>1</v>
      </c>
      <c r="L296" t="s">
        <v>53</v>
      </c>
      <c r="M296">
        <v>10</v>
      </c>
      <c r="N296" t="s">
        <v>54</v>
      </c>
      <c r="O296">
        <v>10</v>
      </c>
      <c r="P296" t="s">
        <v>41</v>
      </c>
      <c r="Q296" t="s">
        <v>42</v>
      </c>
      <c r="R296" t="s">
        <v>43</v>
      </c>
      <c r="S296" t="s">
        <v>44</v>
      </c>
      <c r="T296" t="s">
        <v>44</v>
      </c>
      <c r="U296" t="s">
        <v>44</v>
      </c>
      <c r="V296" t="s">
        <v>45</v>
      </c>
      <c r="W296" t="s">
        <v>55</v>
      </c>
      <c r="X296" t="s">
        <v>297</v>
      </c>
      <c r="Z296" s="2">
        <v>1000</v>
      </c>
      <c r="AA296" t="s">
        <v>44</v>
      </c>
      <c r="AB296">
        <v>0</v>
      </c>
      <c r="AD296">
        <v>2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hidden="1" spans="1:35">
      <c r="A297" t="s">
        <v>681</v>
      </c>
      <c r="B297" t="s">
        <v>682</v>
      </c>
      <c r="D297" t="s">
        <v>37</v>
      </c>
      <c r="F297">
        <v>1</v>
      </c>
      <c r="G297">
        <v>1</v>
      </c>
      <c r="K297">
        <v>1</v>
      </c>
      <c r="L297" t="s">
        <v>53</v>
      </c>
      <c r="M297">
        <v>20</v>
      </c>
      <c r="N297" t="s">
        <v>64</v>
      </c>
      <c r="O297">
        <v>20</v>
      </c>
      <c r="P297" t="s">
        <v>41</v>
      </c>
      <c r="Q297" t="s">
        <v>42</v>
      </c>
      <c r="R297" t="s">
        <v>43</v>
      </c>
      <c r="S297" t="s">
        <v>44</v>
      </c>
      <c r="T297" t="s">
        <v>44</v>
      </c>
      <c r="U297" t="s">
        <v>44</v>
      </c>
      <c r="V297" t="s">
        <v>45</v>
      </c>
      <c r="W297" t="s">
        <v>55</v>
      </c>
      <c r="X297" t="s">
        <v>297</v>
      </c>
      <c r="Z297">
        <v>500</v>
      </c>
      <c r="AA297" t="s">
        <v>44</v>
      </c>
      <c r="AB297">
        <v>2</v>
      </c>
      <c r="AD297">
        <v>2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hidden="1" spans="1:35">
      <c r="A298" t="s">
        <v>683</v>
      </c>
      <c r="B298" t="s">
        <v>684</v>
      </c>
      <c r="D298" t="s">
        <v>37</v>
      </c>
      <c r="F298">
        <v>1</v>
      </c>
      <c r="G298">
        <v>1</v>
      </c>
      <c r="K298">
        <v>1</v>
      </c>
      <c r="L298" t="s">
        <v>53</v>
      </c>
      <c r="M298">
        <v>10</v>
      </c>
      <c r="N298" t="s">
        <v>54</v>
      </c>
      <c r="O298">
        <v>10</v>
      </c>
      <c r="P298" t="s">
        <v>41</v>
      </c>
      <c r="Q298" t="s">
        <v>42</v>
      </c>
      <c r="R298" t="s">
        <v>43</v>
      </c>
      <c r="S298" t="s">
        <v>44</v>
      </c>
      <c r="T298" t="s">
        <v>44</v>
      </c>
      <c r="U298" t="s">
        <v>44</v>
      </c>
      <c r="V298" t="s">
        <v>45</v>
      </c>
      <c r="W298" t="s">
        <v>55</v>
      </c>
      <c r="X298" t="s">
        <v>297</v>
      </c>
      <c r="Z298" s="2">
        <v>1000</v>
      </c>
      <c r="AA298" t="s">
        <v>44</v>
      </c>
      <c r="AB298">
        <v>10</v>
      </c>
      <c r="AD298">
        <v>2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hidden="1" spans="1:35">
      <c r="A299" t="s">
        <v>685</v>
      </c>
      <c r="B299" t="s">
        <v>686</v>
      </c>
      <c r="D299" t="s">
        <v>37</v>
      </c>
      <c r="F299">
        <v>1</v>
      </c>
      <c r="G299">
        <v>1</v>
      </c>
      <c r="K299">
        <v>1</v>
      </c>
      <c r="L299" t="s">
        <v>53</v>
      </c>
      <c r="M299">
        <v>20</v>
      </c>
      <c r="N299" t="s">
        <v>64</v>
      </c>
      <c r="O299">
        <v>20</v>
      </c>
      <c r="P299" t="s">
        <v>41</v>
      </c>
      <c r="Q299" t="s">
        <v>42</v>
      </c>
      <c r="R299" t="s">
        <v>43</v>
      </c>
      <c r="S299" t="s">
        <v>44</v>
      </c>
      <c r="T299" t="s">
        <v>44</v>
      </c>
      <c r="U299" t="s">
        <v>44</v>
      </c>
      <c r="V299" t="s">
        <v>45</v>
      </c>
      <c r="W299" t="s">
        <v>55</v>
      </c>
      <c r="X299" t="s">
        <v>297</v>
      </c>
      <c r="Z299">
        <v>500</v>
      </c>
      <c r="AA299" t="s">
        <v>44</v>
      </c>
      <c r="AB299">
        <v>0</v>
      </c>
      <c r="AD299">
        <v>2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hidden="1" spans="1:35">
      <c r="A300" t="s">
        <v>687</v>
      </c>
      <c r="B300" t="s">
        <v>688</v>
      </c>
      <c r="D300" t="s">
        <v>37</v>
      </c>
      <c r="F300">
        <v>1</v>
      </c>
      <c r="G300">
        <v>1</v>
      </c>
      <c r="K300">
        <v>1</v>
      </c>
      <c r="L300" t="s">
        <v>53</v>
      </c>
      <c r="M300">
        <v>10</v>
      </c>
      <c r="N300" t="s">
        <v>54</v>
      </c>
      <c r="O300">
        <v>10</v>
      </c>
      <c r="P300" t="s">
        <v>41</v>
      </c>
      <c r="Q300" t="s">
        <v>42</v>
      </c>
      <c r="R300" t="s">
        <v>43</v>
      </c>
      <c r="S300" t="s">
        <v>44</v>
      </c>
      <c r="T300" t="s">
        <v>44</v>
      </c>
      <c r="U300" t="s">
        <v>44</v>
      </c>
      <c r="V300" t="s">
        <v>45</v>
      </c>
      <c r="W300" t="s">
        <v>55</v>
      </c>
      <c r="X300" t="s">
        <v>297</v>
      </c>
      <c r="Z300" s="2">
        <v>1000</v>
      </c>
      <c r="AA300" t="s">
        <v>44</v>
      </c>
      <c r="AB300">
        <v>0</v>
      </c>
      <c r="AD300">
        <v>2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hidden="1" spans="1:35">
      <c r="A301" t="s">
        <v>689</v>
      </c>
      <c r="B301" t="s">
        <v>690</v>
      </c>
      <c r="D301" t="s">
        <v>37</v>
      </c>
      <c r="F301">
        <v>1</v>
      </c>
      <c r="G301">
        <v>1</v>
      </c>
      <c r="K301">
        <v>1</v>
      </c>
      <c r="L301" t="s">
        <v>53</v>
      </c>
      <c r="M301">
        <v>20</v>
      </c>
      <c r="N301" t="s">
        <v>64</v>
      </c>
      <c r="O301">
        <v>20</v>
      </c>
      <c r="P301" t="s">
        <v>41</v>
      </c>
      <c r="Q301" t="s">
        <v>42</v>
      </c>
      <c r="R301" t="s">
        <v>43</v>
      </c>
      <c r="S301" t="s">
        <v>44</v>
      </c>
      <c r="T301" t="s">
        <v>44</v>
      </c>
      <c r="U301" t="s">
        <v>44</v>
      </c>
      <c r="V301" t="s">
        <v>45</v>
      </c>
      <c r="W301" t="s">
        <v>55</v>
      </c>
      <c r="X301" t="s">
        <v>297</v>
      </c>
      <c r="Z301">
        <v>500</v>
      </c>
      <c r="AA301" t="s">
        <v>44</v>
      </c>
      <c r="AB301">
        <v>0</v>
      </c>
      <c r="AD301">
        <v>2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hidden="1" spans="1:35">
      <c r="A302" t="s">
        <v>691</v>
      </c>
      <c r="B302" t="s">
        <v>692</v>
      </c>
      <c r="D302" t="s">
        <v>37</v>
      </c>
      <c r="F302">
        <v>1</v>
      </c>
      <c r="G302">
        <v>1</v>
      </c>
      <c r="K302">
        <v>1</v>
      </c>
      <c r="L302" t="s">
        <v>53</v>
      </c>
      <c r="M302">
        <v>10</v>
      </c>
      <c r="N302" t="s">
        <v>54</v>
      </c>
      <c r="O302">
        <v>10</v>
      </c>
      <c r="P302" t="s">
        <v>41</v>
      </c>
      <c r="Q302" t="s">
        <v>42</v>
      </c>
      <c r="R302" t="s">
        <v>43</v>
      </c>
      <c r="S302" t="s">
        <v>44</v>
      </c>
      <c r="T302" t="s">
        <v>44</v>
      </c>
      <c r="U302" t="s">
        <v>44</v>
      </c>
      <c r="V302" t="s">
        <v>45</v>
      </c>
      <c r="W302" t="s">
        <v>55</v>
      </c>
      <c r="X302" t="s">
        <v>297</v>
      </c>
      <c r="Z302" s="2">
        <v>1000</v>
      </c>
      <c r="AA302" t="s">
        <v>44</v>
      </c>
      <c r="AB302">
        <v>0</v>
      </c>
      <c r="AD302">
        <v>2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hidden="1" spans="1:35">
      <c r="A303" t="s">
        <v>693</v>
      </c>
      <c r="B303" t="s">
        <v>694</v>
      </c>
      <c r="D303" t="s">
        <v>37</v>
      </c>
      <c r="F303">
        <v>1</v>
      </c>
      <c r="G303">
        <v>1</v>
      </c>
      <c r="K303">
        <v>1</v>
      </c>
      <c r="L303" t="s">
        <v>53</v>
      </c>
      <c r="M303">
        <v>20</v>
      </c>
      <c r="N303" t="s">
        <v>64</v>
      </c>
      <c r="O303">
        <v>20</v>
      </c>
      <c r="P303" t="s">
        <v>41</v>
      </c>
      <c r="Q303" t="s">
        <v>42</v>
      </c>
      <c r="R303" t="s">
        <v>43</v>
      </c>
      <c r="S303" t="s">
        <v>44</v>
      </c>
      <c r="T303" t="s">
        <v>44</v>
      </c>
      <c r="U303" t="s">
        <v>44</v>
      </c>
      <c r="V303" t="s">
        <v>45</v>
      </c>
      <c r="W303" t="s">
        <v>55</v>
      </c>
      <c r="X303" t="s">
        <v>297</v>
      </c>
      <c r="Z303">
        <v>500</v>
      </c>
      <c r="AA303" t="s">
        <v>44</v>
      </c>
      <c r="AB303">
        <v>0</v>
      </c>
      <c r="AD303">
        <v>2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hidden="1" spans="1:35">
      <c r="A304" t="s">
        <v>695</v>
      </c>
      <c r="B304" t="s">
        <v>696</v>
      </c>
      <c r="D304" t="s">
        <v>37</v>
      </c>
      <c r="F304">
        <v>1</v>
      </c>
      <c r="G304">
        <v>1</v>
      </c>
      <c r="K304">
        <v>1</v>
      </c>
      <c r="L304" t="s">
        <v>53</v>
      </c>
      <c r="M304">
        <v>10</v>
      </c>
      <c r="N304" t="s">
        <v>54</v>
      </c>
      <c r="O304">
        <v>10</v>
      </c>
      <c r="P304" t="s">
        <v>41</v>
      </c>
      <c r="Q304" t="s">
        <v>42</v>
      </c>
      <c r="R304" t="s">
        <v>43</v>
      </c>
      <c r="S304" t="s">
        <v>44</v>
      </c>
      <c r="T304" t="s">
        <v>44</v>
      </c>
      <c r="U304" t="s">
        <v>44</v>
      </c>
      <c r="V304" t="s">
        <v>45</v>
      </c>
      <c r="W304" t="s">
        <v>55</v>
      </c>
      <c r="X304" t="s">
        <v>297</v>
      </c>
      <c r="Z304" s="2">
        <v>1000</v>
      </c>
      <c r="AA304" t="s">
        <v>44</v>
      </c>
      <c r="AB304">
        <v>0</v>
      </c>
      <c r="AD304">
        <v>2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hidden="1" spans="1:35">
      <c r="A305" t="s">
        <v>697</v>
      </c>
      <c r="B305" t="s">
        <v>698</v>
      </c>
      <c r="D305" t="s">
        <v>37</v>
      </c>
      <c r="F305">
        <v>1</v>
      </c>
      <c r="G305">
        <v>1</v>
      </c>
      <c r="K305">
        <v>1</v>
      </c>
      <c r="L305" t="s">
        <v>53</v>
      </c>
      <c r="M305">
        <v>20</v>
      </c>
      <c r="N305" t="s">
        <v>64</v>
      </c>
      <c r="O305">
        <v>1</v>
      </c>
      <c r="P305" t="s">
        <v>41</v>
      </c>
      <c r="Q305" t="s">
        <v>42</v>
      </c>
      <c r="R305" t="s">
        <v>43</v>
      </c>
      <c r="S305" t="s">
        <v>44</v>
      </c>
      <c r="T305" t="s">
        <v>44</v>
      </c>
      <c r="U305" t="s">
        <v>44</v>
      </c>
      <c r="V305" t="s">
        <v>45</v>
      </c>
      <c r="W305" t="s">
        <v>55</v>
      </c>
      <c r="X305" t="s">
        <v>297</v>
      </c>
      <c r="Z305">
        <v>200</v>
      </c>
      <c r="AA305" t="s">
        <v>44</v>
      </c>
      <c r="AB305">
        <v>0</v>
      </c>
      <c r="AD305">
        <v>2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hidden="1" spans="1:35">
      <c r="A306" t="s">
        <v>699</v>
      </c>
      <c r="B306" t="s">
        <v>700</v>
      </c>
      <c r="D306" t="s">
        <v>37</v>
      </c>
      <c r="F306">
        <v>1</v>
      </c>
      <c r="G306">
        <v>1</v>
      </c>
      <c r="K306">
        <v>1</v>
      </c>
      <c r="L306" t="s">
        <v>53</v>
      </c>
      <c r="M306">
        <v>20</v>
      </c>
      <c r="N306" t="s">
        <v>64</v>
      </c>
      <c r="O306">
        <v>20</v>
      </c>
      <c r="P306" t="s">
        <v>41</v>
      </c>
      <c r="Q306" t="s">
        <v>42</v>
      </c>
      <c r="R306" t="s">
        <v>43</v>
      </c>
      <c r="S306" t="s">
        <v>44</v>
      </c>
      <c r="T306" t="s">
        <v>44</v>
      </c>
      <c r="U306" t="s">
        <v>44</v>
      </c>
      <c r="V306" t="s">
        <v>45</v>
      </c>
      <c r="W306" t="s">
        <v>55</v>
      </c>
      <c r="X306" t="s">
        <v>297</v>
      </c>
      <c r="Z306">
        <v>500</v>
      </c>
      <c r="AA306" t="s">
        <v>44</v>
      </c>
      <c r="AB306">
        <v>0</v>
      </c>
      <c r="AD306">
        <v>2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>
      <c r="A307" s="1" t="s">
        <v>701</v>
      </c>
      <c r="B307" s="1" t="s">
        <v>702</v>
      </c>
      <c r="D307" s="1" t="s">
        <v>37</v>
      </c>
      <c r="F307" s="1">
        <v>1</v>
      </c>
      <c r="G307" s="1">
        <v>1</v>
      </c>
      <c r="H307" t="s">
        <v>38</v>
      </c>
      <c r="I307">
        <f>IF(J307="Renceng",(M307/10),(M307/15))</f>
        <v>25</v>
      </c>
      <c r="J307" t="s">
        <v>149</v>
      </c>
      <c r="K307" s="1">
        <f>M307/I307</f>
        <v>10</v>
      </c>
      <c r="L307" s="1" t="s">
        <v>120</v>
      </c>
      <c r="M307" s="1">
        <v>250</v>
      </c>
      <c r="N307" s="1" t="s">
        <v>150</v>
      </c>
      <c r="O307" s="3">
        <v>25000</v>
      </c>
      <c r="P307" s="1" t="s">
        <v>41</v>
      </c>
      <c r="Q307" s="1" t="s">
        <v>42</v>
      </c>
      <c r="R307" s="1" t="s">
        <v>43</v>
      </c>
      <c r="S307" s="1" t="s">
        <v>44</v>
      </c>
      <c r="T307" s="1" t="s">
        <v>44</v>
      </c>
      <c r="U307" s="1" t="s">
        <v>44</v>
      </c>
      <c r="V307" s="1" t="s">
        <v>45</v>
      </c>
      <c r="W307" s="1" t="s">
        <v>151</v>
      </c>
      <c r="X307" s="1" t="s">
        <v>461</v>
      </c>
      <c r="Z307" s="1">
        <v>20</v>
      </c>
      <c r="AA307" s="1" t="s">
        <v>44</v>
      </c>
      <c r="AB307" s="3">
        <v>12650</v>
      </c>
      <c r="AD307" s="1">
        <v>2</v>
      </c>
      <c r="AE307" s="1">
        <v>30.6</v>
      </c>
      <c r="AF307" s="1">
        <v>23</v>
      </c>
      <c r="AG307" s="1">
        <v>18</v>
      </c>
      <c r="AH307" s="1">
        <v>0.01</v>
      </c>
      <c r="AI307" s="1">
        <v>2.02</v>
      </c>
    </row>
    <row r="308" spans="1:35">
      <c r="A308" s="1" t="s">
        <v>703</v>
      </c>
      <c r="B308" s="1" t="s">
        <v>704</v>
      </c>
      <c r="D308" s="1" t="s">
        <v>37</v>
      </c>
      <c r="F308" s="1">
        <v>1</v>
      </c>
      <c r="G308" s="1">
        <v>1</v>
      </c>
      <c r="H308" t="s">
        <v>38</v>
      </c>
      <c r="I308">
        <f>IF(J308="Renceng",(M308/10),(M308/15))</f>
        <v>25</v>
      </c>
      <c r="J308" t="str">
        <f>IF(OR(ISNUMBER(SEARCH("2Bks",B308)),ISNUMBER(SEARCH("5Bks",B308))),"RencengBNS",IF(ISNUMBER(SEARCH("1Box",B308)),"BoxBNS"," "))</f>
        <v>RencengBNS</v>
      </c>
      <c r="K308" s="1">
        <f>M308/I308</f>
        <v>15</v>
      </c>
      <c r="L308" s="1" t="s">
        <v>120</v>
      </c>
      <c r="M308" s="1">
        <v>375</v>
      </c>
      <c r="N308" s="1" t="s">
        <v>469</v>
      </c>
      <c r="O308" s="3">
        <v>37500</v>
      </c>
      <c r="P308" s="1" t="s">
        <v>41</v>
      </c>
      <c r="Q308" s="1" t="s">
        <v>42</v>
      </c>
      <c r="R308" s="1" t="s">
        <v>43</v>
      </c>
      <c r="S308" s="1" t="s">
        <v>44</v>
      </c>
      <c r="T308" s="1" t="s">
        <v>44</v>
      </c>
      <c r="U308" s="1" t="s">
        <v>44</v>
      </c>
      <c r="V308" s="1" t="s">
        <v>45</v>
      </c>
      <c r="W308" s="1" t="s">
        <v>151</v>
      </c>
      <c r="X308" s="1" t="s">
        <v>461</v>
      </c>
      <c r="Z308" s="1">
        <v>20</v>
      </c>
      <c r="AA308" s="1" t="s">
        <v>44</v>
      </c>
      <c r="AB308" s="1">
        <v>0</v>
      </c>
      <c r="AD308" s="1">
        <v>2</v>
      </c>
      <c r="AE308" s="1">
        <v>39.5</v>
      </c>
      <c r="AF308" s="1">
        <v>28</v>
      </c>
      <c r="AG308" s="1">
        <v>22.6</v>
      </c>
      <c r="AH308" s="1">
        <v>0.02</v>
      </c>
      <c r="AI308" s="1">
        <v>8.19</v>
      </c>
    </row>
    <row r="309" spans="1:35">
      <c r="A309" s="1" t="s">
        <v>705</v>
      </c>
      <c r="B309" s="1" t="s">
        <v>706</v>
      </c>
      <c r="D309" s="1" t="s">
        <v>37</v>
      </c>
      <c r="F309" s="1">
        <v>1</v>
      </c>
      <c r="G309" s="1">
        <v>1</v>
      </c>
      <c r="H309" t="s">
        <v>38</v>
      </c>
      <c r="I309">
        <f>IF(J309="Renceng",(M309/10),(M309/15))</f>
        <v>25</v>
      </c>
      <c r="J309" t="s">
        <v>149</v>
      </c>
      <c r="K309" s="1">
        <f>M309/I309</f>
        <v>10</v>
      </c>
      <c r="L309" s="1" t="s">
        <v>120</v>
      </c>
      <c r="M309" s="1">
        <v>250</v>
      </c>
      <c r="N309" s="1" t="s">
        <v>150</v>
      </c>
      <c r="O309" s="3">
        <v>25000</v>
      </c>
      <c r="P309" s="1" t="s">
        <v>41</v>
      </c>
      <c r="Q309" s="1" t="s">
        <v>42</v>
      </c>
      <c r="R309" s="1" t="s">
        <v>43</v>
      </c>
      <c r="S309" s="1" t="s">
        <v>44</v>
      </c>
      <c r="T309" s="1" t="s">
        <v>44</v>
      </c>
      <c r="U309" s="1" t="s">
        <v>44</v>
      </c>
      <c r="V309" s="1" t="s">
        <v>45</v>
      </c>
      <c r="W309" s="1" t="s">
        <v>151</v>
      </c>
      <c r="X309" s="1" t="s">
        <v>461</v>
      </c>
      <c r="Z309" s="1">
        <v>20</v>
      </c>
      <c r="AA309" s="1" t="s">
        <v>44</v>
      </c>
      <c r="AB309" s="3">
        <v>10470</v>
      </c>
      <c r="AD309" s="1">
        <v>2</v>
      </c>
      <c r="AE309" s="1">
        <v>31.1</v>
      </c>
      <c r="AF309" s="1">
        <v>30.4</v>
      </c>
      <c r="AG309" s="1">
        <v>25</v>
      </c>
      <c r="AH309" s="1">
        <v>0.02</v>
      </c>
      <c r="AI309" s="1">
        <v>5.78</v>
      </c>
    </row>
    <row r="310" spans="1:35">
      <c r="A310" s="1" t="s">
        <v>707</v>
      </c>
      <c r="B310" s="1" t="s">
        <v>708</v>
      </c>
      <c r="D310" s="1" t="s">
        <v>37</v>
      </c>
      <c r="F310" s="1">
        <v>1</v>
      </c>
      <c r="G310" s="1">
        <v>1</v>
      </c>
      <c r="H310" t="s">
        <v>38</v>
      </c>
      <c r="I310">
        <f>IF(J310="Renceng",(M310/10),(M310/15))</f>
        <v>25</v>
      </c>
      <c r="J310" t="str">
        <f>IF(OR(ISNUMBER(SEARCH("2Bks",B310)),ISNUMBER(SEARCH("5Bks",B310))),"RencengBNS",IF(ISNUMBER(SEARCH("1Box",B310)),"BoxBNS"," "))</f>
        <v>RencengBNS</v>
      </c>
      <c r="K310" s="1">
        <f>M310/I310</f>
        <v>15</v>
      </c>
      <c r="L310" s="1" t="s">
        <v>120</v>
      </c>
      <c r="M310" s="1">
        <v>375</v>
      </c>
      <c r="N310" s="1" t="s">
        <v>469</v>
      </c>
      <c r="O310" s="3">
        <v>37500</v>
      </c>
      <c r="P310" s="1" t="s">
        <v>41</v>
      </c>
      <c r="Q310" s="1" t="s">
        <v>42</v>
      </c>
      <c r="R310" s="1" t="s">
        <v>43</v>
      </c>
      <c r="S310" s="1" t="s">
        <v>44</v>
      </c>
      <c r="T310" s="1" t="s">
        <v>44</v>
      </c>
      <c r="U310" s="1" t="s">
        <v>44</v>
      </c>
      <c r="V310" s="1" t="s">
        <v>45</v>
      </c>
      <c r="W310" s="1" t="s">
        <v>151</v>
      </c>
      <c r="X310" s="1" t="s">
        <v>461</v>
      </c>
      <c r="Z310" s="1">
        <v>20</v>
      </c>
      <c r="AA310" s="1" t="s">
        <v>44</v>
      </c>
      <c r="AB310" s="1">
        <v>0</v>
      </c>
      <c r="AD310" s="1">
        <v>2</v>
      </c>
      <c r="AE310" s="1">
        <v>39.5</v>
      </c>
      <c r="AF310" s="1">
        <v>28</v>
      </c>
      <c r="AG310" s="1">
        <v>22.6</v>
      </c>
      <c r="AH310" s="1">
        <v>2.5</v>
      </c>
      <c r="AI310" s="1">
        <v>8.25</v>
      </c>
    </row>
    <row r="311" spans="1:35">
      <c r="A311" s="1" t="s">
        <v>709</v>
      </c>
      <c r="B311" s="1" t="s">
        <v>710</v>
      </c>
      <c r="D311" s="1" t="s">
        <v>37</v>
      </c>
      <c r="F311" s="1">
        <v>1</v>
      </c>
      <c r="G311" s="1">
        <v>1</v>
      </c>
      <c r="H311" t="s">
        <v>38</v>
      </c>
      <c r="I311">
        <f>IF(J311="Renceng",(M311/10),(M311/15))</f>
        <v>5</v>
      </c>
      <c r="J311" t="s">
        <v>149</v>
      </c>
      <c r="K311" s="1">
        <v>50</v>
      </c>
      <c r="L311" s="1" t="s">
        <v>120</v>
      </c>
      <c r="M311" s="1">
        <v>50</v>
      </c>
      <c r="N311" s="1" t="s">
        <v>205</v>
      </c>
      <c r="O311" s="3">
        <v>5000</v>
      </c>
      <c r="P311" s="1" t="s">
        <v>41</v>
      </c>
      <c r="Q311" s="1" t="s">
        <v>42</v>
      </c>
      <c r="R311" s="1" t="s">
        <v>43</v>
      </c>
      <c r="S311" s="1" t="s">
        <v>44</v>
      </c>
      <c r="T311" s="1" t="s">
        <v>44</v>
      </c>
      <c r="U311" s="1" t="s">
        <v>44</v>
      </c>
      <c r="V311" s="1" t="s">
        <v>45</v>
      </c>
      <c r="W311" s="1" t="s">
        <v>46</v>
      </c>
      <c r="X311" s="1" t="s">
        <v>396</v>
      </c>
      <c r="Z311" s="1">
        <v>60</v>
      </c>
      <c r="AA311" s="1" t="s">
        <v>44</v>
      </c>
      <c r="AB311" s="1">
        <v>0</v>
      </c>
      <c r="AD311" s="1">
        <v>2</v>
      </c>
      <c r="AE311" s="1">
        <v>35.8</v>
      </c>
      <c r="AF311" s="1">
        <v>23.8</v>
      </c>
      <c r="AG311" s="1">
        <v>18.8</v>
      </c>
      <c r="AH311" s="1">
        <v>0.02</v>
      </c>
      <c r="AI311" s="1">
        <v>4.95</v>
      </c>
    </row>
    <row r="312" spans="1:35">
      <c r="A312" s="1" t="s">
        <v>711</v>
      </c>
      <c r="B312" s="1" t="s">
        <v>712</v>
      </c>
      <c r="D312" s="1" t="s">
        <v>37</v>
      </c>
      <c r="F312" s="1">
        <v>1</v>
      </c>
      <c r="G312" s="1">
        <v>1</v>
      </c>
      <c r="H312" t="s">
        <v>38</v>
      </c>
      <c r="I312" t="str">
        <f>IF(ISNUMBER(SEARCH("Renceng",J312)),(K312/10)," ")</f>
        <v> </v>
      </c>
      <c r="J312" t="str">
        <f>IF(ISNUMBER(SEARCH("Rtg",B312)),"Renceng"," ")</f>
        <v> </v>
      </c>
      <c r="K312" s="1">
        <v>20</v>
      </c>
      <c r="L312" s="1" t="s">
        <v>120</v>
      </c>
      <c r="M312" s="1">
        <v>20</v>
      </c>
      <c r="N312" s="1" t="s">
        <v>223</v>
      </c>
      <c r="O312" s="3">
        <v>2000</v>
      </c>
      <c r="P312" s="1" t="s">
        <v>41</v>
      </c>
      <c r="Q312" s="1" t="s">
        <v>42</v>
      </c>
      <c r="R312" s="1" t="s">
        <v>43</v>
      </c>
      <c r="S312" s="1" t="s">
        <v>44</v>
      </c>
      <c r="T312" s="1" t="s">
        <v>44</v>
      </c>
      <c r="U312" s="1" t="s">
        <v>44</v>
      </c>
      <c r="V312" s="1" t="s">
        <v>45</v>
      </c>
      <c r="W312" s="1" t="s">
        <v>46</v>
      </c>
      <c r="X312" s="1" t="s">
        <v>194</v>
      </c>
      <c r="Z312" s="1">
        <v>200</v>
      </c>
      <c r="AA312" s="1" t="s">
        <v>44</v>
      </c>
      <c r="AB312" s="1">
        <v>0</v>
      </c>
      <c r="AD312" s="1">
        <v>2</v>
      </c>
      <c r="AE312" s="1">
        <v>38.8</v>
      </c>
      <c r="AF312" s="1">
        <v>24.9</v>
      </c>
      <c r="AG312" s="1">
        <v>17.9</v>
      </c>
      <c r="AH312" s="1">
        <v>0.02</v>
      </c>
      <c r="AI312" s="1">
        <v>4.32</v>
      </c>
    </row>
    <row r="313" spans="1:35">
      <c r="A313" s="1" t="s">
        <v>713</v>
      </c>
      <c r="B313" s="1" t="s">
        <v>714</v>
      </c>
      <c r="D313" s="1" t="s">
        <v>37</v>
      </c>
      <c r="F313" s="1">
        <v>1</v>
      </c>
      <c r="G313" s="1">
        <v>1</v>
      </c>
      <c r="H313" t="s">
        <v>38</v>
      </c>
      <c r="I313" t="str">
        <f>IF(ISNUMBER(SEARCH("Renceng",J313)),(K313/10)," ")</f>
        <v> </v>
      </c>
      <c r="J313" t="str">
        <f>IF(ISNUMBER(SEARCH("Rtg",B313)),"Renceng"," ")</f>
        <v> </v>
      </c>
      <c r="K313" s="1">
        <v>20</v>
      </c>
      <c r="L313" s="1" t="s">
        <v>120</v>
      </c>
      <c r="M313" s="1">
        <v>20</v>
      </c>
      <c r="N313" s="1" t="s">
        <v>223</v>
      </c>
      <c r="O313" s="1">
        <v>1</v>
      </c>
      <c r="P313" s="1" t="s">
        <v>41</v>
      </c>
      <c r="Q313" s="1" t="s">
        <v>42</v>
      </c>
      <c r="R313" s="1" t="s">
        <v>43</v>
      </c>
      <c r="S313" s="1" t="s">
        <v>44</v>
      </c>
      <c r="T313" s="1" t="s">
        <v>44</v>
      </c>
      <c r="U313" s="1" t="s">
        <v>44</v>
      </c>
      <c r="V313" s="1" t="s">
        <v>45</v>
      </c>
      <c r="W313" s="1" t="s">
        <v>46</v>
      </c>
      <c r="X313" s="1" t="s">
        <v>194</v>
      </c>
      <c r="Z313" s="1">
        <v>200</v>
      </c>
      <c r="AA313" s="1" t="s">
        <v>44</v>
      </c>
      <c r="AB313" s="1">
        <v>0</v>
      </c>
      <c r="AD313" s="1">
        <v>2</v>
      </c>
      <c r="AE313" s="1">
        <v>38.8</v>
      </c>
      <c r="AF313" s="1">
        <v>24.9</v>
      </c>
      <c r="AG313" s="1">
        <v>17.9</v>
      </c>
      <c r="AH313" s="1">
        <v>0.02</v>
      </c>
      <c r="AI313" s="1">
        <v>4.32</v>
      </c>
    </row>
    <row r="314" hidden="1" spans="1:35">
      <c r="A314" s="1" t="s">
        <v>715</v>
      </c>
      <c r="B314" s="1" t="s">
        <v>716</v>
      </c>
      <c r="D314" s="1" t="s">
        <v>37</v>
      </c>
      <c r="F314" s="1">
        <v>1</v>
      </c>
      <c r="G314" s="1">
        <v>1</v>
      </c>
      <c r="K314" s="1">
        <v>1</v>
      </c>
      <c r="L314" s="1" t="s">
        <v>120</v>
      </c>
      <c r="M314" s="1">
        <v>96</v>
      </c>
      <c r="N314" s="1" t="s">
        <v>126</v>
      </c>
      <c r="O314" s="1">
        <v>1</v>
      </c>
      <c r="P314" s="1" t="s">
        <v>41</v>
      </c>
      <c r="Q314" s="1" t="s">
        <v>42</v>
      </c>
      <c r="R314" s="1" t="s">
        <v>43</v>
      </c>
      <c r="S314" s="1" t="s">
        <v>44</v>
      </c>
      <c r="T314" s="1" t="s">
        <v>44</v>
      </c>
      <c r="U314" s="1" t="s">
        <v>44</v>
      </c>
      <c r="V314" s="1" t="s">
        <v>106</v>
      </c>
      <c r="W314" s="1" t="s">
        <v>107</v>
      </c>
      <c r="X314" s="1" t="s">
        <v>108</v>
      </c>
      <c r="Z314" s="1">
        <v>25</v>
      </c>
      <c r="AA314" s="1" t="s">
        <v>44</v>
      </c>
      <c r="AB314" s="1">
        <v>0</v>
      </c>
      <c r="AD314" s="1">
        <v>2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</row>
    <row r="315" hidden="1" spans="1:35">
      <c r="A315" s="1" t="s">
        <v>717</v>
      </c>
      <c r="B315" s="1" t="s">
        <v>718</v>
      </c>
      <c r="D315" s="1" t="s">
        <v>37</v>
      </c>
      <c r="F315" s="1">
        <v>1</v>
      </c>
      <c r="G315" s="1">
        <v>1</v>
      </c>
      <c r="K315" s="1">
        <v>1</v>
      </c>
      <c r="L315" s="1" t="s">
        <v>120</v>
      </c>
      <c r="M315" s="1">
        <v>96</v>
      </c>
      <c r="N315" s="1" t="s">
        <v>126</v>
      </c>
      <c r="O315" s="1">
        <v>1</v>
      </c>
      <c r="P315" s="1" t="s">
        <v>41</v>
      </c>
      <c r="Q315" s="1" t="s">
        <v>42</v>
      </c>
      <c r="R315" s="1" t="s">
        <v>43</v>
      </c>
      <c r="S315" s="1" t="s">
        <v>44</v>
      </c>
      <c r="T315" s="1" t="s">
        <v>44</v>
      </c>
      <c r="U315" s="1" t="s">
        <v>44</v>
      </c>
      <c r="V315" s="1" t="s">
        <v>106</v>
      </c>
      <c r="W315" s="1" t="s">
        <v>107</v>
      </c>
      <c r="X315" s="1" t="s">
        <v>108</v>
      </c>
      <c r="Z315" s="1">
        <v>25</v>
      </c>
      <c r="AA315" s="1" t="s">
        <v>44</v>
      </c>
      <c r="AB315" s="1">
        <v>0</v>
      </c>
      <c r="AD315" s="1">
        <v>2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</row>
    <row r="316" spans="1:35">
      <c r="A316" s="1" t="s">
        <v>719</v>
      </c>
      <c r="B316" s="1" t="s">
        <v>720</v>
      </c>
      <c r="D316" s="1" t="s">
        <v>37</v>
      </c>
      <c r="F316" s="1">
        <v>1</v>
      </c>
      <c r="G316" s="1">
        <v>1</v>
      </c>
      <c r="H316" t="s">
        <v>38</v>
      </c>
      <c r="K316" s="3">
        <v>1800</v>
      </c>
      <c r="L316" s="1" t="s">
        <v>120</v>
      </c>
      <c r="M316" s="1">
        <v>1800</v>
      </c>
      <c r="N316" s="1" t="s">
        <v>395</v>
      </c>
      <c r="O316" s="1">
        <v>1</v>
      </c>
      <c r="P316" s="1" t="s">
        <v>41</v>
      </c>
      <c r="Q316" s="1" t="s">
        <v>42</v>
      </c>
      <c r="R316" s="1" t="s">
        <v>43</v>
      </c>
      <c r="S316" s="1" t="s">
        <v>44</v>
      </c>
      <c r="T316" s="1" t="s">
        <v>44</v>
      </c>
      <c r="U316" s="1" t="s">
        <v>44</v>
      </c>
      <c r="V316" s="1" t="s">
        <v>45</v>
      </c>
      <c r="W316" s="1" t="s">
        <v>46</v>
      </c>
      <c r="X316" s="1" t="s">
        <v>396</v>
      </c>
      <c r="Z316" s="1">
        <v>12</v>
      </c>
      <c r="AA316" s="1" t="s">
        <v>44</v>
      </c>
      <c r="AB316" s="1">
        <v>0</v>
      </c>
      <c r="AD316" s="1">
        <v>2</v>
      </c>
      <c r="AE316" s="1">
        <v>50.2</v>
      </c>
      <c r="AF316" s="1">
        <v>43</v>
      </c>
      <c r="AG316" s="1">
        <v>64.5</v>
      </c>
      <c r="AH316" s="1">
        <v>0.14</v>
      </c>
      <c r="AI316" s="1">
        <v>26.92</v>
      </c>
    </row>
    <row r="317" hidden="1" spans="1:35">
      <c r="A317" s="1" t="s">
        <v>721</v>
      </c>
      <c r="B317" s="1" t="s">
        <v>722</v>
      </c>
      <c r="D317" s="1" t="s">
        <v>37</v>
      </c>
      <c r="F317" s="1">
        <v>1</v>
      </c>
      <c r="G317" s="1">
        <v>1</v>
      </c>
      <c r="K317" s="1">
        <v>1</v>
      </c>
      <c r="L317" s="1" t="s">
        <v>120</v>
      </c>
      <c r="M317" s="1">
        <v>100</v>
      </c>
      <c r="N317" s="1" t="s">
        <v>202</v>
      </c>
      <c r="O317" s="1">
        <v>1</v>
      </c>
      <c r="P317" s="1" t="s">
        <v>41</v>
      </c>
      <c r="Q317" s="1" t="s">
        <v>42</v>
      </c>
      <c r="R317" s="1" t="s">
        <v>43</v>
      </c>
      <c r="S317" s="1" t="s">
        <v>44</v>
      </c>
      <c r="T317" s="1" t="s">
        <v>44</v>
      </c>
      <c r="U317" s="1" t="s">
        <v>44</v>
      </c>
      <c r="V317" s="1" t="s">
        <v>45</v>
      </c>
      <c r="W317" s="1" t="s">
        <v>46</v>
      </c>
      <c r="X317" s="1" t="s">
        <v>194</v>
      </c>
      <c r="Z317" s="1">
        <v>30</v>
      </c>
      <c r="AA317" s="1" t="s">
        <v>44</v>
      </c>
      <c r="AB317" s="1">
        <v>0</v>
      </c>
      <c r="AD317" s="1">
        <v>2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</row>
    <row r="318" hidden="1" spans="1:35">
      <c r="A318" s="1" t="s">
        <v>723</v>
      </c>
      <c r="B318" s="1" t="s">
        <v>724</v>
      </c>
      <c r="D318" s="1" t="s">
        <v>37</v>
      </c>
      <c r="F318" s="1">
        <v>1</v>
      </c>
      <c r="G318" s="1">
        <v>1</v>
      </c>
      <c r="K318" s="1">
        <v>1</v>
      </c>
      <c r="L318" s="1" t="s">
        <v>120</v>
      </c>
      <c r="M318" s="1">
        <v>50</v>
      </c>
      <c r="N318" s="1" t="s">
        <v>205</v>
      </c>
      <c r="O318" s="1">
        <v>1</v>
      </c>
      <c r="P318" s="1" t="s">
        <v>41</v>
      </c>
      <c r="Q318" s="1" t="s">
        <v>42</v>
      </c>
      <c r="R318" s="1" t="s">
        <v>43</v>
      </c>
      <c r="S318" s="1" t="s">
        <v>44</v>
      </c>
      <c r="T318" s="1" t="s">
        <v>44</v>
      </c>
      <c r="U318" s="1" t="s">
        <v>44</v>
      </c>
      <c r="V318" s="1" t="s">
        <v>45</v>
      </c>
      <c r="W318" s="1" t="s">
        <v>46</v>
      </c>
      <c r="X318" s="1" t="s">
        <v>194</v>
      </c>
      <c r="Z318" s="1">
        <v>60</v>
      </c>
      <c r="AA318" s="1" t="s">
        <v>44</v>
      </c>
      <c r="AB318" s="1">
        <v>0</v>
      </c>
      <c r="AD318" s="1">
        <v>2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</row>
    <row r="319" spans="1:35">
      <c r="A319" s="1" t="s">
        <v>725</v>
      </c>
      <c r="B319" s="1" t="s">
        <v>726</v>
      </c>
      <c r="D319" s="1" t="s">
        <v>37</v>
      </c>
      <c r="F319" s="1">
        <v>1</v>
      </c>
      <c r="G319" s="1">
        <v>1</v>
      </c>
      <c r="H319" t="s">
        <v>38</v>
      </c>
      <c r="I319">
        <f>IF(J319="Renceng",(M319/10),(M319/15))</f>
        <v>20</v>
      </c>
      <c r="J319" t="str">
        <f>IF(ISNUMBER(SEARCH("Rtg",B319)),"Renceng"," ")</f>
        <v>Renceng</v>
      </c>
      <c r="K319" s="1">
        <f>M319/I319</f>
        <v>10</v>
      </c>
      <c r="L319" s="1" t="s">
        <v>120</v>
      </c>
      <c r="M319" s="1">
        <v>200</v>
      </c>
      <c r="N319" s="1" t="s">
        <v>199</v>
      </c>
      <c r="O319" s="1">
        <v>1</v>
      </c>
      <c r="P319" s="1" t="s">
        <v>41</v>
      </c>
      <c r="Q319" s="1" t="s">
        <v>42</v>
      </c>
      <c r="R319" s="1" t="s">
        <v>43</v>
      </c>
      <c r="S319" s="1" t="s">
        <v>44</v>
      </c>
      <c r="T319" s="1" t="s">
        <v>44</v>
      </c>
      <c r="U319" s="1" t="s">
        <v>44</v>
      </c>
      <c r="V319" s="1" t="s">
        <v>45</v>
      </c>
      <c r="W319" s="1" t="s">
        <v>46</v>
      </c>
      <c r="X319" s="1" t="s">
        <v>430</v>
      </c>
      <c r="Z319" s="1">
        <v>10</v>
      </c>
      <c r="AA319" s="1" t="s">
        <v>44</v>
      </c>
      <c r="AB319" s="1">
        <v>0</v>
      </c>
      <c r="AD319" s="1">
        <v>2</v>
      </c>
      <c r="AE319" s="1">
        <v>38.6</v>
      </c>
      <c r="AF319" s="1">
        <v>25.5</v>
      </c>
      <c r="AG319" s="1">
        <v>21.1</v>
      </c>
      <c r="AH319" s="1">
        <v>0.02</v>
      </c>
      <c r="AI319" s="1">
        <v>3.35</v>
      </c>
    </row>
    <row r="320" hidden="1" spans="1:35">
      <c r="A320" s="1" t="s">
        <v>727</v>
      </c>
      <c r="B320" s="1" t="s">
        <v>728</v>
      </c>
      <c r="D320" s="1" t="s">
        <v>37</v>
      </c>
      <c r="F320" s="1">
        <v>1</v>
      </c>
      <c r="G320" s="1">
        <v>1</v>
      </c>
      <c r="K320" s="1">
        <v>1</v>
      </c>
      <c r="L320" s="1" t="s">
        <v>120</v>
      </c>
      <c r="M320" s="1">
        <v>120</v>
      </c>
      <c r="N320" s="1" t="s">
        <v>229</v>
      </c>
      <c r="O320" s="1">
        <v>1</v>
      </c>
      <c r="P320" s="1" t="s">
        <v>41</v>
      </c>
      <c r="Q320" s="1" t="s">
        <v>42</v>
      </c>
      <c r="R320" s="1" t="s">
        <v>43</v>
      </c>
      <c r="S320" s="1" t="s">
        <v>44</v>
      </c>
      <c r="T320" s="1" t="s">
        <v>44</v>
      </c>
      <c r="U320" s="1" t="s">
        <v>44</v>
      </c>
      <c r="V320" s="1" t="s">
        <v>45</v>
      </c>
      <c r="W320" s="1" t="s">
        <v>46</v>
      </c>
      <c r="X320" s="1" t="s">
        <v>194</v>
      </c>
      <c r="Z320" s="1">
        <v>40</v>
      </c>
      <c r="AA320" s="1" t="s">
        <v>44</v>
      </c>
      <c r="AB320" s="1">
        <v>0</v>
      </c>
      <c r="AD320" s="1">
        <v>2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</row>
    <row r="321" spans="1:35">
      <c r="A321" t="s">
        <v>729</v>
      </c>
      <c r="B321" t="s">
        <v>730</v>
      </c>
      <c r="D321" t="s">
        <v>37</v>
      </c>
      <c r="F321">
        <v>1</v>
      </c>
      <c r="G321">
        <v>1</v>
      </c>
      <c r="H321" t="s">
        <v>38</v>
      </c>
      <c r="K321">
        <v>24</v>
      </c>
      <c r="L321" t="s">
        <v>39</v>
      </c>
      <c r="M321">
        <v>24</v>
      </c>
      <c r="N321" t="s">
        <v>40</v>
      </c>
      <c r="O321" s="2">
        <v>2400</v>
      </c>
      <c r="P321" t="s">
        <v>41</v>
      </c>
      <c r="Q321" t="s">
        <v>42</v>
      </c>
      <c r="R321" t="s">
        <v>43</v>
      </c>
      <c r="S321" t="s">
        <v>44</v>
      </c>
      <c r="T321" t="s">
        <v>44</v>
      </c>
      <c r="U321" t="s">
        <v>44</v>
      </c>
      <c r="V321" t="s">
        <v>45</v>
      </c>
      <c r="W321" t="s">
        <v>46</v>
      </c>
      <c r="X321" t="s">
        <v>297</v>
      </c>
      <c r="Z321">
        <v>60</v>
      </c>
      <c r="AA321" t="s">
        <v>44</v>
      </c>
      <c r="AB321">
        <v>65</v>
      </c>
      <c r="AD321">
        <v>2</v>
      </c>
      <c r="AE321">
        <v>31.5</v>
      </c>
      <c r="AF321">
        <v>19.8</v>
      </c>
      <c r="AG321">
        <v>17.6</v>
      </c>
      <c r="AH321">
        <v>0.01</v>
      </c>
      <c r="AI321">
        <v>2.64</v>
      </c>
    </row>
    <row r="322" spans="1:35">
      <c r="A322" t="s">
        <v>731</v>
      </c>
      <c r="B322" t="s">
        <v>732</v>
      </c>
      <c r="D322" t="s">
        <v>37</v>
      </c>
      <c r="F322">
        <v>1</v>
      </c>
      <c r="G322">
        <v>1</v>
      </c>
      <c r="H322" t="s">
        <v>38</v>
      </c>
      <c r="I322">
        <v>12</v>
      </c>
      <c r="J322" t="str">
        <f>IF(OR(ISNUMBER(SEARCH("2Bks",B322)),ISNUMBER(SEARCH("5Bks",B322))),"RencengBNS",IF(ISNUMBER(SEARCH("1Box",B322)),"BoxBNS"," "))</f>
        <v>BoxBNS</v>
      </c>
      <c r="K322">
        <v>2</v>
      </c>
      <c r="L322" t="s">
        <v>39</v>
      </c>
      <c r="M322">
        <v>24</v>
      </c>
      <c r="N322" t="s">
        <v>40</v>
      </c>
      <c r="O322">
        <v>1</v>
      </c>
      <c r="P322" t="s">
        <v>41</v>
      </c>
      <c r="Q322" t="s">
        <v>42</v>
      </c>
      <c r="R322" t="s">
        <v>43</v>
      </c>
      <c r="S322" t="s">
        <v>44</v>
      </c>
      <c r="T322" t="s">
        <v>44</v>
      </c>
      <c r="U322" t="s">
        <v>44</v>
      </c>
      <c r="V322" t="s">
        <v>45</v>
      </c>
      <c r="W322" t="s">
        <v>46</v>
      </c>
      <c r="X322" t="s">
        <v>297</v>
      </c>
      <c r="Z322">
        <v>60</v>
      </c>
      <c r="AA322" t="s">
        <v>44</v>
      </c>
      <c r="AB322">
        <v>0</v>
      </c>
      <c r="AD322">
        <v>2</v>
      </c>
      <c r="AE322">
        <v>34.7</v>
      </c>
      <c r="AF322">
        <v>26.5</v>
      </c>
      <c r="AG322">
        <v>17.5</v>
      </c>
      <c r="AH322">
        <v>0.02</v>
      </c>
      <c r="AI322">
        <v>2.95</v>
      </c>
    </row>
    <row r="323" spans="1:35">
      <c r="A323" t="s">
        <v>733</v>
      </c>
      <c r="B323" t="s">
        <v>734</v>
      </c>
      <c r="D323" t="s">
        <v>37</v>
      </c>
      <c r="F323">
        <v>1</v>
      </c>
      <c r="G323">
        <v>1</v>
      </c>
      <c r="H323" t="s">
        <v>38</v>
      </c>
      <c r="K323">
        <v>6</v>
      </c>
      <c r="L323" t="s">
        <v>53</v>
      </c>
      <c r="M323">
        <v>6</v>
      </c>
      <c r="N323" t="s">
        <v>735</v>
      </c>
      <c r="O323">
        <v>600</v>
      </c>
      <c r="P323" t="s">
        <v>41</v>
      </c>
      <c r="Q323" t="s">
        <v>42</v>
      </c>
      <c r="R323" t="s">
        <v>43</v>
      </c>
      <c r="S323" t="s">
        <v>44</v>
      </c>
      <c r="T323" t="s">
        <v>44</v>
      </c>
      <c r="U323" t="s">
        <v>44</v>
      </c>
      <c r="V323" t="s">
        <v>45</v>
      </c>
      <c r="W323" t="s">
        <v>151</v>
      </c>
      <c r="X323" t="s">
        <v>461</v>
      </c>
      <c r="Z323">
        <v>300</v>
      </c>
      <c r="AA323" t="s">
        <v>44</v>
      </c>
      <c r="AB323">
        <v>0</v>
      </c>
      <c r="AD323">
        <v>2</v>
      </c>
      <c r="AE323">
        <v>39.2</v>
      </c>
      <c r="AF323">
        <v>25</v>
      </c>
      <c r="AG323">
        <v>27.7</v>
      </c>
      <c r="AH323">
        <v>0.03</v>
      </c>
      <c r="AI323" s="2">
        <v>1800</v>
      </c>
    </row>
    <row r="324" spans="1:35">
      <c r="A324" t="s">
        <v>736</v>
      </c>
      <c r="B324" t="s">
        <v>737</v>
      </c>
      <c r="D324" t="s">
        <v>37</v>
      </c>
      <c r="F324">
        <v>1</v>
      </c>
      <c r="G324">
        <v>1</v>
      </c>
      <c r="H324" t="s">
        <v>38</v>
      </c>
      <c r="K324">
        <v>20</v>
      </c>
      <c r="L324" t="s">
        <v>39</v>
      </c>
      <c r="M324">
        <v>20</v>
      </c>
      <c r="N324" t="s">
        <v>50</v>
      </c>
      <c r="O324" s="2">
        <v>2000</v>
      </c>
      <c r="P324" t="s">
        <v>41</v>
      </c>
      <c r="Q324" t="s">
        <v>42</v>
      </c>
      <c r="R324" t="s">
        <v>43</v>
      </c>
      <c r="S324" t="s">
        <v>44</v>
      </c>
      <c r="T324" t="s">
        <v>44</v>
      </c>
      <c r="U324" t="s">
        <v>44</v>
      </c>
      <c r="V324" t="s">
        <v>45</v>
      </c>
      <c r="W324" t="s">
        <v>46</v>
      </c>
      <c r="X324" t="s">
        <v>297</v>
      </c>
      <c r="Z324">
        <v>50</v>
      </c>
      <c r="AA324" t="s">
        <v>44</v>
      </c>
      <c r="AB324">
        <v>14</v>
      </c>
      <c r="AD324">
        <v>2</v>
      </c>
      <c r="AE324">
        <v>28</v>
      </c>
      <c r="AF324">
        <v>21.4</v>
      </c>
      <c r="AG324">
        <v>27.4</v>
      </c>
      <c r="AH324">
        <v>0.02</v>
      </c>
      <c r="AI324">
        <v>2.09</v>
      </c>
    </row>
    <row r="325" hidden="1" spans="1:35">
      <c r="A325" t="s">
        <v>738</v>
      </c>
      <c r="B325" t="s">
        <v>739</v>
      </c>
      <c r="D325" t="s">
        <v>37</v>
      </c>
      <c r="F325">
        <v>1</v>
      </c>
      <c r="G325">
        <v>1</v>
      </c>
      <c r="K325">
        <v>1</v>
      </c>
      <c r="L325" t="s">
        <v>58</v>
      </c>
      <c r="M325">
        <v>36</v>
      </c>
      <c r="N325" t="s">
        <v>59</v>
      </c>
      <c r="O325">
        <v>1</v>
      </c>
      <c r="P325" t="s">
        <v>41</v>
      </c>
      <c r="Q325" t="s">
        <v>42</v>
      </c>
      <c r="R325" t="s">
        <v>43</v>
      </c>
      <c r="S325" t="s">
        <v>44</v>
      </c>
      <c r="T325" t="s">
        <v>44</v>
      </c>
      <c r="U325" t="s">
        <v>44</v>
      </c>
      <c r="V325" t="s">
        <v>45</v>
      </c>
      <c r="W325" t="s">
        <v>55</v>
      </c>
      <c r="X325" t="s">
        <v>297</v>
      </c>
      <c r="Z325">
        <v>200</v>
      </c>
      <c r="AA325" t="s">
        <v>43</v>
      </c>
      <c r="AB325">
        <v>0</v>
      </c>
      <c r="AD325">
        <v>2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>
      <c r="A326" t="s">
        <v>740</v>
      </c>
      <c r="B326" t="s">
        <v>741</v>
      </c>
      <c r="D326" t="s">
        <v>37</v>
      </c>
      <c r="F326">
        <v>1</v>
      </c>
      <c r="G326">
        <v>1</v>
      </c>
      <c r="H326" t="s">
        <v>38</v>
      </c>
      <c r="K326">
        <v>10</v>
      </c>
      <c r="L326" t="s">
        <v>53</v>
      </c>
      <c r="M326">
        <v>10</v>
      </c>
      <c r="N326" t="s">
        <v>54</v>
      </c>
      <c r="O326">
        <v>10</v>
      </c>
      <c r="P326" t="s">
        <v>41</v>
      </c>
      <c r="Q326" t="s">
        <v>42</v>
      </c>
      <c r="R326" t="s">
        <v>43</v>
      </c>
      <c r="S326" t="s">
        <v>44</v>
      </c>
      <c r="T326" t="s">
        <v>44</v>
      </c>
      <c r="U326" t="s">
        <v>44</v>
      </c>
      <c r="V326" t="s">
        <v>45</v>
      </c>
      <c r="W326" t="s">
        <v>55</v>
      </c>
      <c r="X326" t="s">
        <v>297</v>
      </c>
      <c r="Z326" s="2">
        <v>1000</v>
      </c>
      <c r="AA326" t="s">
        <v>43</v>
      </c>
      <c r="AB326">
        <v>0</v>
      </c>
      <c r="AD326">
        <v>2</v>
      </c>
      <c r="AE326">
        <v>53.4</v>
      </c>
      <c r="AF326">
        <v>27.5</v>
      </c>
      <c r="AG326">
        <v>35</v>
      </c>
      <c r="AH326">
        <v>0.05</v>
      </c>
      <c r="AI326">
        <v>16.28</v>
      </c>
    </row>
    <row r="327" spans="1:35">
      <c r="A327" t="s">
        <v>742</v>
      </c>
      <c r="B327" t="s">
        <v>741</v>
      </c>
      <c r="D327" t="s">
        <v>37</v>
      </c>
      <c r="F327">
        <v>1</v>
      </c>
      <c r="G327">
        <v>1</v>
      </c>
      <c r="H327" t="s">
        <v>38</v>
      </c>
      <c r="K327">
        <v>15</v>
      </c>
      <c r="L327" t="s">
        <v>53</v>
      </c>
      <c r="M327">
        <v>15</v>
      </c>
      <c r="N327" t="s">
        <v>498</v>
      </c>
      <c r="O327">
        <v>15</v>
      </c>
      <c r="P327" t="s">
        <v>41</v>
      </c>
      <c r="Q327" t="s">
        <v>42</v>
      </c>
      <c r="R327" t="s">
        <v>43</v>
      </c>
      <c r="S327" t="s">
        <v>44</v>
      </c>
      <c r="T327" t="s">
        <v>44</v>
      </c>
      <c r="U327" t="s">
        <v>44</v>
      </c>
      <c r="V327" t="s">
        <v>45</v>
      </c>
      <c r="W327" t="s">
        <v>55</v>
      </c>
      <c r="X327" t="s">
        <v>297</v>
      </c>
      <c r="Z327" s="2">
        <v>1000</v>
      </c>
      <c r="AA327" t="s">
        <v>44</v>
      </c>
      <c r="AB327">
        <v>0</v>
      </c>
      <c r="AD327">
        <v>2</v>
      </c>
      <c r="AE327">
        <v>53.4</v>
      </c>
      <c r="AF327">
        <v>27.5</v>
      </c>
      <c r="AG327">
        <v>35</v>
      </c>
      <c r="AH327">
        <v>0.05</v>
      </c>
      <c r="AI327">
        <v>16.28</v>
      </c>
    </row>
    <row r="328" hidden="1" spans="1:35">
      <c r="A328" t="s">
        <v>743</v>
      </c>
      <c r="B328" t="s">
        <v>744</v>
      </c>
      <c r="D328" t="s">
        <v>37</v>
      </c>
      <c r="F328">
        <v>1</v>
      </c>
      <c r="G328">
        <v>1</v>
      </c>
      <c r="K328">
        <v>1</v>
      </c>
      <c r="L328" t="s">
        <v>58</v>
      </c>
      <c r="M328">
        <v>36</v>
      </c>
      <c r="N328" t="s">
        <v>59</v>
      </c>
      <c r="O328" s="2">
        <v>3600</v>
      </c>
      <c r="P328" t="s">
        <v>41</v>
      </c>
      <c r="Q328" t="s">
        <v>42</v>
      </c>
      <c r="R328" t="s">
        <v>43</v>
      </c>
      <c r="S328" t="s">
        <v>44</v>
      </c>
      <c r="T328" t="s">
        <v>44</v>
      </c>
      <c r="U328" t="s">
        <v>44</v>
      </c>
      <c r="V328" t="s">
        <v>45</v>
      </c>
      <c r="W328" t="s">
        <v>55</v>
      </c>
      <c r="X328" t="s">
        <v>297</v>
      </c>
      <c r="Z328">
        <v>200</v>
      </c>
      <c r="AA328" t="s">
        <v>44</v>
      </c>
      <c r="AB328">
        <v>0</v>
      </c>
      <c r="AD328">
        <v>2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>
      <c r="A329" t="s">
        <v>745</v>
      </c>
      <c r="B329" t="s">
        <v>744</v>
      </c>
      <c r="D329" t="s">
        <v>37</v>
      </c>
      <c r="F329">
        <v>1</v>
      </c>
      <c r="G329">
        <v>1</v>
      </c>
      <c r="H329" t="s">
        <v>38</v>
      </c>
      <c r="K329">
        <v>12</v>
      </c>
      <c r="L329" t="s">
        <v>58</v>
      </c>
      <c r="M329">
        <v>12</v>
      </c>
      <c r="N329" t="s">
        <v>61</v>
      </c>
      <c r="O329" s="2">
        <v>1200</v>
      </c>
      <c r="P329" t="s">
        <v>41</v>
      </c>
      <c r="Q329" t="s">
        <v>42</v>
      </c>
      <c r="R329" t="s">
        <v>43</v>
      </c>
      <c r="S329" t="s">
        <v>44</v>
      </c>
      <c r="T329" t="s">
        <v>44</v>
      </c>
      <c r="U329" t="s">
        <v>44</v>
      </c>
      <c r="V329" t="s">
        <v>45</v>
      </c>
      <c r="W329" t="s">
        <v>55</v>
      </c>
      <c r="X329" t="s">
        <v>297</v>
      </c>
      <c r="Z329">
        <v>200</v>
      </c>
      <c r="AA329" t="s">
        <v>44</v>
      </c>
      <c r="AB329">
        <v>10</v>
      </c>
      <c r="AD329">
        <v>2</v>
      </c>
      <c r="AE329">
        <v>34.7</v>
      </c>
      <c r="AF329">
        <v>26.5</v>
      </c>
      <c r="AG329">
        <v>17.5</v>
      </c>
      <c r="AH329">
        <v>0.02</v>
      </c>
      <c r="AI329">
        <v>4</v>
      </c>
    </row>
    <row r="330" hidden="1" spans="1:35">
      <c r="A330" t="s">
        <v>746</v>
      </c>
      <c r="B330" t="s">
        <v>747</v>
      </c>
      <c r="D330" t="s">
        <v>37</v>
      </c>
      <c r="F330">
        <v>1</v>
      </c>
      <c r="G330">
        <v>1</v>
      </c>
      <c r="K330">
        <v>1</v>
      </c>
      <c r="L330" t="s">
        <v>53</v>
      </c>
      <c r="M330">
        <v>20</v>
      </c>
      <c r="N330" t="s">
        <v>64</v>
      </c>
      <c r="O330">
        <v>20</v>
      </c>
      <c r="P330" t="s">
        <v>41</v>
      </c>
      <c r="Q330" t="s">
        <v>42</v>
      </c>
      <c r="R330" t="s">
        <v>43</v>
      </c>
      <c r="S330" t="s">
        <v>44</v>
      </c>
      <c r="T330" t="s">
        <v>44</v>
      </c>
      <c r="U330" t="s">
        <v>44</v>
      </c>
      <c r="V330" t="s">
        <v>45</v>
      </c>
      <c r="W330" t="s">
        <v>55</v>
      </c>
      <c r="X330" t="s">
        <v>297</v>
      </c>
      <c r="Z330">
        <v>250</v>
      </c>
      <c r="AA330" t="s">
        <v>44</v>
      </c>
      <c r="AB330">
        <v>0</v>
      </c>
      <c r="AD330">
        <v>2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hidden="1" spans="1:35">
      <c r="A331" t="s">
        <v>748</v>
      </c>
      <c r="B331" t="s">
        <v>749</v>
      </c>
      <c r="D331" t="s">
        <v>37</v>
      </c>
      <c r="F331">
        <v>1</v>
      </c>
      <c r="G331">
        <v>1</v>
      </c>
      <c r="K331">
        <v>1</v>
      </c>
      <c r="L331" t="s">
        <v>53</v>
      </c>
      <c r="M331">
        <v>20</v>
      </c>
      <c r="N331" t="s">
        <v>64</v>
      </c>
      <c r="O331">
        <v>20</v>
      </c>
      <c r="P331" t="s">
        <v>41</v>
      </c>
      <c r="Q331" t="s">
        <v>42</v>
      </c>
      <c r="R331" t="s">
        <v>43</v>
      </c>
      <c r="S331" t="s">
        <v>44</v>
      </c>
      <c r="T331" t="s">
        <v>44</v>
      </c>
      <c r="U331" t="s">
        <v>44</v>
      </c>
      <c r="V331" t="s">
        <v>45</v>
      </c>
      <c r="W331" t="s">
        <v>55</v>
      </c>
      <c r="X331" t="s">
        <v>297</v>
      </c>
      <c r="Z331">
        <v>500</v>
      </c>
      <c r="AA331" t="s">
        <v>43</v>
      </c>
      <c r="AB331">
        <v>0</v>
      </c>
      <c r="AD331">
        <v>2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>
      <c r="A332" t="s">
        <v>750</v>
      </c>
      <c r="B332" t="s">
        <v>749</v>
      </c>
      <c r="D332" t="s">
        <v>37</v>
      </c>
      <c r="F332">
        <v>1</v>
      </c>
      <c r="G332">
        <v>1</v>
      </c>
      <c r="H332" t="s">
        <v>38</v>
      </c>
      <c r="K332">
        <v>26</v>
      </c>
      <c r="L332" t="s">
        <v>53</v>
      </c>
      <c r="M332">
        <v>26</v>
      </c>
      <c r="N332" t="s">
        <v>505</v>
      </c>
      <c r="O332">
        <v>26</v>
      </c>
      <c r="P332" t="s">
        <v>41</v>
      </c>
      <c r="Q332" t="s">
        <v>42</v>
      </c>
      <c r="R332" t="s">
        <v>43</v>
      </c>
      <c r="S332" t="s">
        <v>44</v>
      </c>
      <c r="T332" t="s">
        <v>44</v>
      </c>
      <c r="U332" t="s">
        <v>44</v>
      </c>
      <c r="V332" t="s">
        <v>45</v>
      </c>
      <c r="W332" t="s">
        <v>55</v>
      </c>
      <c r="X332" t="s">
        <v>297</v>
      </c>
      <c r="Z332">
        <v>500</v>
      </c>
      <c r="AA332" t="s">
        <v>44</v>
      </c>
      <c r="AB332">
        <v>0</v>
      </c>
      <c r="AD332">
        <v>2</v>
      </c>
      <c r="AE332">
        <v>53.4</v>
      </c>
      <c r="AF332">
        <v>27.5</v>
      </c>
      <c r="AG332">
        <v>35</v>
      </c>
      <c r="AH332">
        <v>0.05</v>
      </c>
      <c r="AI332">
        <v>14.36</v>
      </c>
    </row>
    <row r="333" hidden="1" spans="1:35">
      <c r="A333" t="s">
        <v>751</v>
      </c>
      <c r="B333" t="s">
        <v>752</v>
      </c>
      <c r="D333" t="s">
        <v>37</v>
      </c>
      <c r="F333">
        <v>1</v>
      </c>
      <c r="G333">
        <v>1</v>
      </c>
      <c r="K333">
        <v>1</v>
      </c>
      <c r="L333" t="s">
        <v>39</v>
      </c>
      <c r="M333" t="s">
        <v>136</v>
      </c>
      <c r="N333" t="s">
        <v>136</v>
      </c>
      <c r="O333">
        <v>1</v>
      </c>
      <c r="P333" t="s">
        <v>41</v>
      </c>
      <c r="Q333" t="s">
        <v>42</v>
      </c>
      <c r="R333" t="s">
        <v>43</v>
      </c>
      <c r="S333" t="s">
        <v>44</v>
      </c>
      <c r="T333" t="s">
        <v>44</v>
      </c>
      <c r="U333" t="s">
        <v>44</v>
      </c>
      <c r="V333" t="s">
        <v>45</v>
      </c>
      <c r="W333" t="s">
        <v>46</v>
      </c>
      <c r="X333" t="s">
        <v>297</v>
      </c>
      <c r="Z333">
        <v>100</v>
      </c>
      <c r="AA333" t="s">
        <v>43</v>
      </c>
      <c r="AB333">
        <v>0</v>
      </c>
      <c r="AD333">
        <v>2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>
      <c r="A334" t="s">
        <v>753</v>
      </c>
      <c r="B334" t="s">
        <v>754</v>
      </c>
      <c r="D334" t="s">
        <v>37</v>
      </c>
      <c r="F334">
        <v>1</v>
      </c>
      <c r="G334">
        <v>1</v>
      </c>
      <c r="H334" t="s">
        <v>38</v>
      </c>
      <c r="K334">
        <v>24</v>
      </c>
      <c r="L334" t="s">
        <v>39</v>
      </c>
      <c r="M334">
        <v>24</v>
      </c>
      <c r="N334" t="s">
        <v>40</v>
      </c>
      <c r="O334" s="2">
        <v>2400</v>
      </c>
      <c r="P334" t="s">
        <v>41</v>
      </c>
      <c r="Q334" t="s">
        <v>42</v>
      </c>
      <c r="R334" t="s">
        <v>43</v>
      </c>
      <c r="S334" t="s">
        <v>44</v>
      </c>
      <c r="T334" t="s">
        <v>44</v>
      </c>
      <c r="U334" t="s">
        <v>44</v>
      </c>
      <c r="V334" t="s">
        <v>45</v>
      </c>
      <c r="W334" t="s">
        <v>46</v>
      </c>
      <c r="X334" t="s">
        <v>297</v>
      </c>
      <c r="Z334">
        <v>60</v>
      </c>
      <c r="AA334" t="s">
        <v>44</v>
      </c>
      <c r="AB334">
        <v>0</v>
      </c>
      <c r="AD334">
        <v>2</v>
      </c>
      <c r="AE334">
        <v>31.5</v>
      </c>
      <c r="AF334">
        <v>19.8</v>
      </c>
      <c r="AG334">
        <v>17.6</v>
      </c>
      <c r="AH334">
        <v>0.01</v>
      </c>
      <c r="AI334">
        <v>2.64</v>
      </c>
    </row>
    <row r="335" spans="1:35">
      <c r="A335" t="s">
        <v>755</v>
      </c>
      <c r="B335" t="s">
        <v>756</v>
      </c>
      <c r="D335" t="s">
        <v>37</v>
      </c>
      <c r="F335">
        <v>1</v>
      </c>
      <c r="G335">
        <v>1</v>
      </c>
      <c r="H335" t="s">
        <v>38</v>
      </c>
      <c r="I335">
        <v>12</v>
      </c>
      <c r="J335" t="str">
        <f>IF(OR(ISNUMBER(SEARCH("2Bks",B335)),ISNUMBER(SEARCH("5Bks",B335))),"RencengBNS",IF(ISNUMBER(SEARCH("1Box",B335)),"BoxBNS"," "))</f>
        <v>BoxBNS</v>
      </c>
      <c r="K335">
        <v>2</v>
      </c>
      <c r="L335" t="s">
        <v>39</v>
      </c>
      <c r="M335">
        <v>24</v>
      </c>
      <c r="N335" t="s">
        <v>40</v>
      </c>
      <c r="O335">
        <v>1</v>
      </c>
      <c r="P335" t="s">
        <v>41</v>
      </c>
      <c r="Q335" t="s">
        <v>42</v>
      </c>
      <c r="R335" t="s">
        <v>43</v>
      </c>
      <c r="S335" t="s">
        <v>44</v>
      </c>
      <c r="T335" t="s">
        <v>44</v>
      </c>
      <c r="U335" t="s">
        <v>44</v>
      </c>
      <c r="V335" t="s">
        <v>45</v>
      </c>
      <c r="W335" t="s">
        <v>46</v>
      </c>
      <c r="X335" t="s">
        <v>297</v>
      </c>
      <c r="Z335">
        <v>60</v>
      </c>
      <c r="AA335" t="s">
        <v>44</v>
      </c>
      <c r="AB335">
        <v>0</v>
      </c>
      <c r="AD335">
        <v>2</v>
      </c>
      <c r="AE335">
        <v>34.7</v>
      </c>
      <c r="AF335">
        <v>26.5</v>
      </c>
      <c r="AG335">
        <v>17.5</v>
      </c>
      <c r="AH335">
        <v>0.02</v>
      </c>
      <c r="AI335">
        <v>2.95</v>
      </c>
    </row>
    <row r="336" spans="1:35">
      <c r="A336" t="s">
        <v>757</v>
      </c>
      <c r="B336" t="s">
        <v>758</v>
      </c>
      <c r="D336" t="s">
        <v>37</v>
      </c>
      <c r="F336">
        <v>1</v>
      </c>
      <c r="G336">
        <v>1</v>
      </c>
      <c r="H336" t="s">
        <v>38</v>
      </c>
      <c r="K336">
        <v>6</v>
      </c>
      <c r="L336" t="s">
        <v>53</v>
      </c>
      <c r="M336">
        <v>6</v>
      </c>
      <c r="N336" t="s">
        <v>735</v>
      </c>
      <c r="O336">
        <v>600</v>
      </c>
      <c r="P336" t="s">
        <v>41</v>
      </c>
      <c r="Q336" t="s">
        <v>42</v>
      </c>
      <c r="R336" t="s">
        <v>43</v>
      </c>
      <c r="S336" t="s">
        <v>44</v>
      </c>
      <c r="T336" t="s">
        <v>44</v>
      </c>
      <c r="U336" t="s">
        <v>44</v>
      </c>
      <c r="V336" t="s">
        <v>45</v>
      </c>
      <c r="W336" t="s">
        <v>151</v>
      </c>
      <c r="X336" t="s">
        <v>461</v>
      </c>
      <c r="Z336">
        <v>300</v>
      </c>
      <c r="AA336" t="s">
        <v>44</v>
      </c>
      <c r="AB336">
        <v>0</v>
      </c>
      <c r="AD336">
        <v>2</v>
      </c>
      <c r="AE336">
        <v>39.2</v>
      </c>
      <c r="AF336">
        <v>25</v>
      </c>
      <c r="AG336">
        <v>27.7</v>
      </c>
      <c r="AH336">
        <v>0.03</v>
      </c>
      <c r="AI336" s="2">
        <v>1800</v>
      </c>
    </row>
    <row r="337" spans="1:35">
      <c r="A337" t="s">
        <v>759</v>
      </c>
      <c r="B337" t="s">
        <v>760</v>
      </c>
      <c r="D337" t="s">
        <v>37</v>
      </c>
      <c r="F337">
        <v>1</v>
      </c>
      <c r="G337">
        <v>1</v>
      </c>
      <c r="H337" t="s">
        <v>38</v>
      </c>
      <c r="K337">
        <v>20</v>
      </c>
      <c r="L337" t="s">
        <v>39</v>
      </c>
      <c r="M337">
        <v>20</v>
      </c>
      <c r="N337" t="s">
        <v>50</v>
      </c>
      <c r="O337" s="2">
        <v>2000</v>
      </c>
      <c r="P337" t="s">
        <v>41</v>
      </c>
      <c r="Q337" t="s">
        <v>42</v>
      </c>
      <c r="R337" t="s">
        <v>43</v>
      </c>
      <c r="S337" t="s">
        <v>44</v>
      </c>
      <c r="T337" t="s">
        <v>44</v>
      </c>
      <c r="U337" t="s">
        <v>44</v>
      </c>
      <c r="V337" t="s">
        <v>45</v>
      </c>
      <c r="W337" t="s">
        <v>46</v>
      </c>
      <c r="X337" t="s">
        <v>297</v>
      </c>
      <c r="Z337">
        <v>50</v>
      </c>
      <c r="AA337" t="s">
        <v>44</v>
      </c>
      <c r="AB337">
        <v>45</v>
      </c>
      <c r="AD337">
        <v>2</v>
      </c>
      <c r="AE337">
        <v>28</v>
      </c>
      <c r="AF337">
        <v>21.4</v>
      </c>
      <c r="AG337">
        <v>27.4</v>
      </c>
      <c r="AH337">
        <v>0.02</v>
      </c>
      <c r="AI337">
        <v>2.09</v>
      </c>
    </row>
    <row r="338" hidden="1" spans="1:35">
      <c r="A338" t="s">
        <v>761</v>
      </c>
      <c r="B338" t="s">
        <v>762</v>
      </c>
      <c r="D338" t="s">
        <v>37</v>
      </c>
      <c r="F338">
        <v>1</v>
      </c>
      <c r="G338">
        <v>1</v>
      </c>
      <c r="K338">
        <v>1</v>
      </c>
      <c r="L338" t="s">
        <v>39</v>
      </c>
      <c r="M338">
        <v>36</v>
      </c>
      <c r="N338" t="s">
        <v>186</v>
      </c>
      <c r="O338" s="2">
        <v>3600</v>
      </c>
      <c r="P338" t="s">
        <v>41</v>
      </c>
      <c r="Q338" t="s">
        <v>42</v>
      </c>
      <c r="R338" t="s">
        <v>43</v>
      </c>
      <c r="S338" t="s">
        <v>44</v>
      </c>
      <c r="T338" t="s">
        <v>44</v>
      </c>
      <c r="U338" t="s">
        <v>44</v>
      </c>
      <c r="V338" t="s">
        <v>45</v>
      </c>
      <c r="W338" t="s">
        <v>46</v>
      </c>
      <c r="X338" t="s">
        <v>297</v>
      </c>
      <c r="Z338">
        <v>200</v>
      </c>
      <c r="AA338" t="s">
        <v>44</v>
      </c>
      <c r="AB338">
        <v>0</v>
      </c>
      <c r="AD338">
        <v>2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hidden="1" spans="1:35">
      <c r="A339" t="s">
        <v>763</v>
      </c>
      <c r="B339" t="s">
        <v>764</v>
      </c>
      <c r="D339" t="s">
        <v>37</v>
      </c>
      <c r="F339">
        <v>1</v>
      </c>
      <c r="G339">
        <v>1</v>
      </c>
      <c r="K339">
        <v>1</v>
      </c>
      <c r="L339" t="s">
        <v>58</v>
      </c>
      <c r="M339">
        <v>36</v>
      </c>
      <c r="N339" t="s">
        <v>59</v>
      </c>
      <c r="O339">
        <v>1</v>
      </c>
      <c r="P339" t="s">
        <v>41</v>
      </c>
      <c r="Q339" t="s">
        <v>42</v>
      </c>
      <c r="R339" t="s">
        <v>43</v>
      </c>
      <c r="S339" t="s">
        <v>44</v>
      </c>
      <c r="T339" t="s">
        <v>44</v>
      </c>
      <c r="U339" t="s">
        <v>44</v>
      </c>
      <c r="V339" t="s">
        <v>45</v>
      </c>
      <c r="W339" t="s">
        <v>55</v>
      </c>
      <c r="X339" t="s">
        <v>297</v>
      </c>
      <c r="Z339">
        <v>200</v>
      </c>
      <c r="AA339" t="s">
        <v>43</v>
      </c>
      <c r="AB339">
        <v>0</v>
      </c>
      <c r="AD339">
        <v>2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hidden="1" spans="1:35">
      <c r="A340" t="s">
        <v>765</v>
      </c>
      <c r="B340" t="s">
        <v>766</v>
      </c>
      <c r="D340" t="s">
        <v>37</v>
      </c>
      <c r="F340">
        <v>1</v>
      </c>
      <c r="G340">
        <v>1</v>
      </c>
      <c r="K340">
        <v>1</v>
      </c>
      <c r="L340" t="s">
        <v>53</v>
      </c>
      <c r="M340">
        <v>20</v>
      </c>
      <c r="N340" t="s">
        <v>64</v>
      </c>
      <c r="O340">
        <v>1</v>
      </c>
      <c r="P340" t="s">
        <v>41</v>
      </c>
      <c r="Q340" t="s">
        <v>42</v>
      </c>
      <c r="R340" t="s">
        <v>43</v>
      </c>
      <c r="S340" t="s">
        <v>44</v>
      </c>
      <c r="T340" t="s">
        <v>44</v>
      </c>
      <c r="U340" t="s">
        <v>44</v>
      </c>
      <c r="V340" t="s">
        <v>45</v>
      </c>
      <c r="W340" t="s">
        <v>55</v>
      </c>
      <c r="X340" t="s">
        <v>297</v>
      </c>
      <c r="Z340">
        <v>250</v>
      </c>
      <c r="AA340" t="s">
        <v>44</v>
      </c>
      <c r="AB340">
        <v>0</v>
      </c>
      <c r="AD340">
        <v>2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hidden="1" spans="1:35">
      <c r="A341" t="s">
        <v>767</v>
      </c>
      <c r="B341" t="s">
        <v>768</v>
      </c>
      <c r="D341" t="s">
        <v>37</v>
      </c>
      <c r="F341">
        <v>1</v>
      </c>
      <c r="G341">
        <v>1</v>
      </c>
      <c r="K341">
        <v>1</v>
      </c>
      <c r="L341" t="s">
        <v>53</v>
      </c>
      <c r="M341">
        <v>10</v>
      </c>
      <c r="N341" t="s">
        <v>54</v>
      </c>
      <c r="O341">
        <v>10</v>
      </c>
      <c r="P341" t="s">
        <v>41</v>
      </c>
      <c r="Q341" t="s">
        <v>42</v>
      </c>
      <c r="R341" t="s">
        <v>43</v>
      </c>
      <c r="S341" t="s">
        <v>44</v>
      </c>
      <c r="T341" t="s">
        <v>44</v>
      </c>
      <c r="U341" t="s">
        <v>44</v>
      </c>
      <c r="V341" t="s">
        <v>45</v>
      </c>
      <c r="W341" t="s">
        <v>55</v>
      </c>
      <c r="X341" t="s">
        <v>297</v>
      </c>
      <c r="Z341" s="2">
        <v>1000</v>
      </c>
      <c r="AA341" t="s">
        <v>43</v>
      </c>
      <c r="AB341">
        <v>0</v>
      </c>
      <c r="AD341">
        <v>2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>
      <c r="A342" t="s">
        <v>769</v>
      </c>
      <c r="B342" t="s">
        <v>770</v>
      </c>
      <c r="D342" t="s">
        <v>37</v>
      </c>
      <c r="F342">
        <v>1</v>
      </c>
      <c r="G342">
        <v>1</v>
      </c>
      <c r="H342" t="s">
        <v>38</v>
      </c>
      <c r="K342">
        <v>15</v>
      </c>
      <c r="L342" t="s">
        <v>53</v>
      </c>
      <c r="M342">
        <v>15</v>
      </c>
      <c r="N342" t="s">
        <v>498</v>
      </c>
      <c r="O342">
        <v>15</v>
      </c>
      <c r="P342" t="s">
        <v>41</v>
      </c>
      <c r="Q342" t="s">
        <v>42</v>
      </c>
      <c r="R342" t="s">
        <v>43</v>
      </c>
      <c r="S342" t="s">
        <v>44</v>
      </c>
      <c r="T342" t="s">
        <v>44</v>
      </c>
      <c r="U342" t="s">
        <v>44</v>
      </c>
      <c r="V342" t="s">
        <v>45</v>
      </c>
      <c r="W342" t="s">
        <v>55</v>
      </c>
      <c r="X342" t="s">
        <v>297</v>
      </c>
      <c r="Z342" s="2">
        <v>1000</v>
      </c>
      <c r="AA342" t="s">
        <v>44</v>
      </c>
      <c r="AB342">
        <v>0</v>
      </c>
      <c r="AD342">
        <v>2</v>
      </c>
      <c r="AE342">
        <v>53.4</v>
      </c>
      <c r="AF342">
        <v>27.5</v>
      </c>
      <c r="AG342">
        <v>35</v>
      </c>
      <c r="AH342">
        <v>0.05</v>
      </c>
      <c r="AI342">
        <v>16.28</v>
      </c>
    </row>
    <row r="343" hidden="1" spans="1:35">
      <c r="A343" t="s">
        <v>771</v>
      </c>
      <c r="B343" t="s">
        <v>772</v>
      </c>
      <c r="D343" t="s">
        <v>37</v>
      </c>
      <c r="F343">
        <v>1</v>
      </c>
      <c r="G343">
        <v>1</v>
      </c>
      <c r="K343">
        <v>1</v>
      </c>
      <c r="L343" t="s">
        <v>58</v>
      </c>
      <c r="M343">
        <v>36</v>
      </c>
      <c r="N343" t="s">
        <v>59</v>
      </c>
      <c r="O343" s="2">
        <v>3600</v>
      </c>
      <c r="P343" t="s">
        <v>41</v>
      </c>
      <c r="Q343" t="s">
        <v>42</v>
      </c>
      <c r="R343" t="s">
        <v>43</v>
      </c>
      <c r="S343" t="s">
        <v>44</v>
      </c>
      <c r="T343" t="s">
        <v>44</v>
      </c>
      <c r="U343" t="s">
        <v>44</v>
      </c>
      <c r="V343" t="s">
        <v>45</v>
      </c>
      <c r="W343" t="s">
        <v>55</v>
      </c>
      <c r="X343" t="s">
        <v>297</v>
      </c>
      <c r="Z343">
        <v>200</v>
      </c>
      <c r="AA343" t="s">
        <v>44</v>
      </c>
      <c r="AB343">
        <v>0</v>
      </c>
      <c r="AD343">
        <v>2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>
      <c r="A344" t="s">
        <v>773</v>
      </c>
      <c r="B344" t="s">
        <v>772</v>
      </c>
      <c r="D344" t="s">
        <v>37</v>
      </c>
      <c r="F344">
        <v>1</v>
      </c>
      <c r="G344">
        <v>1</v>
      </c>
      <c r="H344" t="s">
        <v>38</v>
      </c>
      <c r="K344">
        <v>12</v>
      </c>
      <c r="L344" t="s">
        <v>58</v>
      </c>
      <c r="M344">
        <v>12</v>
      </c>
      <c r="N344" t="s">
        <v>61</v>
      </c>
      <c r="O344" s="2">
        <v>1200</v>
      </c>
      <c r="P344" t="s">
        <v>41</v>
      </c>
      <c r="Q344" t="s">
        <v>42</v>
      </c>
      <c r="R344" t="s">
        <v>43</v>
      </c>
      <c r="S344" t="s">
        <v>44</v>
      </c>
      <c r="T344" t="s">
        <v>44</v>
      </c>
      <c r="U344" t="s">
        <v>44</v>
      </c>
      <c r="V344" t="s">
        <v>45</v>
      </c>
      <c r="W344" t="s">
        <v>55</v>
      </c>
      <c r="X344" t="s">
        <v>297</v>
      </c>
      <c r="Z344">
        <v>200</v>
      </c>
      <c r="AA344" t="s">
        <v>44</v>
      </c>
      <c r="AB344">
        <v>6</v>
      </c>
      <c r="AD344">
        <v>2</v>
      </c>
      <c r="AE344">
        <v>34.7</v>
      </c>
      <c r="AF344">
        <v>26.5</v>
      </c>
      <c r="AG344">
        <v>17.5</v>
      </c>
      <c r="AH344">
        <v>0.02</v>
      </c>
      <c r="AI344">
        <v>4</v>
      </c>
    </row>
    <row r="345" hidden="1" spans="1:35">
      <c r="A345" t="s">
        <v>774</v>
      </c>
      <c r="B345" t="s">
        <v>775</v>
      </c>
      <c r="D345" t="s">
        <v>37</v>
      </c>
      <c r="F345">
        <v>1</v>
      </c>
      <c r="G345">
        <v>1</v>
      </c>
      <c r="K345">
        <v>1</v>
      </c>
      <c r="L345" t="s">
        <v>53</v>
      </c>
      <c r="M345">
        <v>20</v>
      </c>
      <c r="N345" t="s">
        <v>64</v>
      </c>
      <c r="O345">
        <v>20</v>
      </c>
      <c r="P345" t="s">
        <v>41</v>
      </c>
      <c r="Q345" t="s">
        <v>42</v>
      </c>
      <c r="R345" t="s">
        <v>43</v>
      </c>
      <c r="S345" t="s">
        <v>44</v>
      </c>
      <c r="T345" t="s">
        <v>44</v>
      </c>
      <c r="U345" t="s">
        <v>44</v>
      </c>
      <c r="V345" t="s">
        <v>45</v>
      </c>
      <c r="W345" t="s">
        <v>55</v>
      </c>
      <c r="X345" t="s">
        <v>297</v>
      </c>
      <c r="Z345">
        <v>250</v>
      </c>
      <c r="AA345" t="s">
        <v>44</v>
      </c>
      <c r="AB345">
        <v>0</v>
      </c>
      <c r="AD345">
        <v>2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hidden="1" spans="1:35">
      <c r="A346" t="s">
        <v>776</v>
      </c>
      <c r="B346" t="s">
        <v>777</v>
      </c>
      <c r="D346" t="s">
        <v>37</v>
      </c>
      <c r="F346">
        <v>1</v>
      </c>
      <c r="G346">
        <v>1</v>
      </c>
      <c r="K346">
        <v>1</v>
      </c>
      <c r="L346" t="s">
        <v>53</v>
      </c>
      <c r="M346">
        <v>20</v>
      </c>
      <c r="N346" t="s">
        <v>64</v>
      </c>
      <c r="O346">
        <v>20</v>
      </c>
      <c r="P346" t="s">
        <v>41</v>
      </c>
      <c r="Q346" t="s">
        <v>42</v>
      </c>
      <c r="R346" t="s">
        <v>43</v>
      </c>
      <c r="S346" t="s">
        <v>44</v>
      </c>
      <c r="T346" t="s">
        <v>44</v>
      </c>
      <c r="U346" t="s">
        <v>44</v>
      </c>
      <c r="V346" t="s">
        <v>45</v>
      </c>
      <c r="W346" t="s">
        <v>55</v>
      </c>
      <c r="X346" t="s">
        <v>297</v>
      </c>
      <c r="Z346">
        <v>500</v>
      </c>
      <c r="AA346" t="s">
        <v>43</v>
      </c>
      <c r="AB346">
        <v>0</v>
      </c>
      <c r="AD346">
        <v>2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>
      <c r="A347" t="s">
        <v>778</v>
      </c>
      <c r="B347" t="s">
        <v>777</v>
      </c>
      <c r="D347" t="s">
        <v>37</v>
      </c>
      <c r="F347">
        <v>1</v>
      </c>
      <c r="G347">
        <v>1</v>
      </c>
      <c r="H347" t="s">
        <v>38</v>
      </c>
      <c r="K347">
        <v>26</v>
      </c>
      <c r="L347" t="s">
        <v>53</v>
      </c>
      <c r="M347">
        <v>26</v>
      </c>
      <c r="N347" t="s">
        <v>505</v>
      </c>
      <c r="O347">
        <v>26</v>
      </c>
      <c r="P347" t="s">
        <v>41</v>
      </c>
      <c r="Q347" t="s">
        <v>42</v>
      </c>
      <c r="R347" t="s">
        <v>43</v>
      </c>
      <c r="S347" t="s">
        <v>44</v>
      </c>
      <c r="T347" t="s">
        <v>44</v>
      </c>
      <c r="U347" t="s">
        <v>44</v>
      </c>
      <c r="V347" t="s">
        <v>45</v>
      </c>
      <c r="W347" t="s">
        <v>55</v>
      </c>
      <c r="X347" t="s">
        <v>297</v>
      </c>
      <c r="Z347">
        <v>500</v>
      </c>
      <c r="AA347" t="s">
        <v>44</v>
      </c>
      <c r="AB347">
        <v>0</v>
      </c>
      <c r="AD347">
        <v>2</v>
      </c>
      <c r="AE347">
        <v>53.4</v>
      </c>
      <c r="AF347">
        <v>27.5</v>
      </c>
      <c r="AG347">
        <v>35</v>
      </c>
      <c r="AH347">
        <v>0.05</v>
      </c>
      <c r="AI347">
        <v>14.36</v>
      </c>
    </row>
    <row r="348" spans="1:35">
      <c r="A348" t="s">
        <v>779</v>
      </c>
      <c r="B348" t="s">
        <v>780</v>
      </c>
      <c r="D348" t="s">
        <v>37</v>
      </c>
      <c r="F348">
        <v>1</v>
      </c>
      <c r="G348">
        <v>1</v>
      </c>
      <c r="H348" t="s">
        <v>38</v>
      </c>
      <c r="K348">
        <v>24</v>
      </c>
      <c r="L348" t="s">
        <v>39</v>
      </c>
      <c r="M348">
        <v>24</v>
      </c>
      <c r="N348" t="s">
        <v>40</v>
      </c>
      <c r="O348" s="2">
        <v>2400</v>
      </c>
      <c r="P348" t="s">
        <v>41</v>
      </c>
      <c r="Q348" t="s">
        <v>42</v>
      </c>
      <c r="R348" t="s">
        <v>43</v>
      </c>
      <c r="S348" t="s">
        <v>44</v>
      </c>
      <c r="T348" t="s">
        <v>44</v>
      </c>
      <c r="U348" t="s">
        <v>44</v>
      </c>
      <c r="V348" t="s">
        <v>45</v>
      </c>
      <c r="W348" t="s">
        <v>46</v>
      </c>
      <c r="X348" t="s">
        <v>297</v>
      </c>
      <c r="Z348">
        <v>60</v>
      </c>
      <c r="AA348" t="s">
        <v>44</v>
      </c>
      <c r="AB348">
        <v>15</v>
      </c>
      <c r="AD348">
        <v>2</v>
      </c>
      <c r="AE348">
        <v>31.5</v>
      </c>
      <c r="AF348">
        <v>19.8</v>
      </c>
      <c r="AG348">
        <v>17.6</v>
      </c>
      <c r="AH348">
        <v>0.01</v>
      </c>
      <c r="AI348">
        <v>2.64</v>
      </c>
    </row>
    <row r="349" spans="1:35">
      <c r="A349" t="s">
        <v>781</v>
      </c>
      <c r="B349" t="s">
        <v>782</v>
      </c>
      <c r="D349" t="s">
        <v>37</v>
      </c>
      <c r="F349">
        <v>1</v>
      </c>
      <c r="G349">
        <v>1</v>
      </c>
      <c r="H349" t="s">
        <v>38</v>
      </c>
      <c r="I349">
        <v>12</v>
      </c>
      <c r="J349" t="str">
        <f>IF(OR(ISNUMBER(SEARCH("2Bks",B349)),ISNUMBER(SEARCH("5Bks",B349))),"RencengBNS",IF(ISNUMBER(SEARCH("1Box",B349)),"BoxBNS"," "))</f>
        <v>BoxBNS</v>
      </c>
      <c r="K349">
        <v>2</v>
      </c>
      <c r="L349" t="s">
        <v>39</v>
      </c>
      <c r="M349">
        <v>24</v>
      </c>
      <c r="N349" t="s">
        <v>40</v>
      </c>
      <c r="O349">
        <v>1</v>
      </c>
      <c r="P349" t="s">
        <v>41</v>
      </c>
      <c r="Q349" t="s">
        <v>42</v>
      </c>
      <c r="R349" t="s">
        <v>43</v>
      </c>
      <c r="S349" t="s">
        <v>44</v>
      </c>
      <c r="T349" t="s">
        <v>44</v>
      </c>
      <c r="U349" t="s">
        <v>44</v>
      </c>
      <c r="V349" t="s">
        <v>45</v>
      </c>
      <c r="W349" t="s">
        <v>46</v>
      </c>
      <c r="X349" t="s">
        <v>297</v>
      </c>
      <c r="Z349">
        <v>60</v>
      </c>
      <c r="AA349" t="s">
        <v>44</v>
      </c>
      <c r="AB349">
        <v>0</v>
      </c>
      <c r="AD349">
        <v>2</v>
      </c>
      <c r="AE349">
        <v>34.7</v>
      </c>
      <c r="AF349">
        <v>26.5</v>
      </c>
      <c r="AG349">
        <v>17.5</v>
      </c>
      <c r="AH349">
        <v>0.02</v>
      </c>
      <c r="AI349">
        <v>2.95</v>
      </c>
    </row>
    <row r="350" spans="1:35">
      <c r="A350" t="s">
        <v>783</v>
      </c>
      <c r="B350" t="s">
        <v>784</v>
      </c>
      <c r="D350" t="s">
        <v>37</v>
      </c>
      <c r="F350">
        <v>1</v>
      </c>
      <c r="G350">
        <v>1</v>
      </c>
      <c r="H350" t="s">
        <v>38</v>
      </c>
      <c r="K350">
        <v>6</v>
      </c>
      <c r="L350" t="s">
        <v>53</v>
      </c>
      <c r="M350">
        <v>6</v>
      </c>
      <c r="N350" t="s">
        <v>735</v>
      </c>
      <c r="O350">
        <v>600</v>
      </c>
      <c r="P350" t="s">
        <v>41</v>
      </c>
      <c r="Q350" t="s">
        <v>42</v>
      </c>
      <c r="R350" t="s">
        <v>43</v>
      </c>
      <c r="S350" t="s">
        <v>44</v>
      </c>
      <c r="T350" t="s">
        <v>44</v>
      </c>
      <c r="U350" t="s">
        <v>44</v>
      </c>
      <c r="V350" t="s">
        <v>45</v>
      </c>
      <c r="W350" t="s">
        <v>151</v>
      </c>
      <c r="X350" t="s">
        <v>461</v>
      </c>
      <c r="Z350">
        <v>300</v>
      </c>
      <c r="AA350" t="s">
        <v>44</v>
      </c>
      <c r="AB350">
        <v>0</v>
      </c>
      <c r="AD350">
        <v>2</v>
      </c>
      <c r="AE350">
        <v>39.2</v>
      </c>
      <c r="AF350">
        <v>25</v>
      </c>
      <c r="AG350">
        <v>27.7</v>
      </c>
      <c r="AH350">
        <v>0.03</v>
      </c>
      <c r="AI350" s="2">
        <v>1800</v>
      </c>
    </row>
    <row r="351" spans="1:35">
      <c r="A351" t="s">
        <v>785</v>
      </c>
      <c r="B351" t="s">
        <v>786</v>
      </c>
      <c r="D351" t="s">
        <v>37</v>
      </c>
      <c r="F351">
        <v>1</v>
      </c>
      <c r="G351">
        <v>1</v>
      </c>
      <c r="H351" t="s">
        <v>38</v>
      </c>
      <c r="K351">
        <v>20</v>
      </c>
      <c r="L351" t="s">
        <v>39</v>
      </c>
      <c r="M351">
        <v>20</v>
      </c>
      <c r="N351" t="s">
        <v>50</v>
      </c>
      <c r="O351" s="2">
        <v>2000</v>
      </c>
      <c r="P351" t="s">
        <v>41</v>
      </c>
      <c r="Q351" t="s">
        <v>42</v>
      </c>
      <c r="R351" t="s">
        <v>43</v>
      </c>
      <c r="S351" t="s">
        <v>44</v>
      </c>
      <c r="T351" t="s">
        <v>44</v>
      </c>
      <c r="U351" t="s">
        <v>44</v>
      </c>
      <c r="V351" t="s">
        <v>45</v>
      </c>
      <c r="W351" t="s">
        <v>46</v>
      </c>
      <c r="X351" t="s">
        <v>297</v>
      </c>
      <c r="Z351">
        <v>50</v>
      </c>
      <c r="AA351" t="s">
        <v>44</v>
      </c>
      <c r="AB351">
        <v>48</v>
      </c>
      <c r="AD351">
        <v>2</v>
      </c>
      <c r="AE351">
        <v>28</v>
      </c>
      <c r="AF351">
        <v>21.4</v>
      </c>
      <c r="AG351">
        <v>27.4</v>
      </c>
      <c r="AH351">
        <v>0.02</v>
      </c>
      <c r="AI351">
        <v>2.09</v>
      </c>
    </row>
    <row r="352" hidden="1" spans="1:35">
      <c r="A352" t="s">
        <v>787</v>
      </c>
      <c r="B352" t="s">
        <v>788</v>
      </c>
      <c r="D352" t="s">
        <v>37</v>
      </c>
      <c r="F352">
        <v>1</v>
      </c>
      <c r="G352">
        <v>1</v>
      </c>
      <c r="K352">
        <v>1</v>
      </c>
      <c r="L352" t="s">
        <v>58</v>
      </c>
      <c r="M352">
        <v>36</v>
      </c>
      <c r="N352" t="s">
        <v>59</v>
      </c>
      <c r="O352">
        <v>1</v>
      </c>
      <c r="P352" t="s">
        <v>41</v>
      </c>
      <c r="Q352" t="s">
        <v>42</v>
      </c>
      <c r="R352" t="s">
        <v>43</v>
      </c>
      <c r="S352" t="s">
        <v>44</v>
      </c>
      <c r="T352" t="s">
        <v>44</v>
      </c>
      <c r="U352" t="s">
        <v>44</v>
      </c>
      <c r="V352" t="s">
        <v>45</v>
      </c>
      <c r="W352" t="s">
        <v>55</v>
      </c>
      <c r="X352" t="s">
        <v>297</v>
      </c>
      <c r="Z352">
        <v>200</v>
      </c>
      <c r="AA352" t="s">
        <v>43</v>
      </c>
      <c r="AB352">
        <v>0</v>
      </c>
      <c r="AD352">
        <v>2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hidden="1" spans="1:35">
      <c r="A353" t="s">
        <v>789</v>
      </c>
      <c r="B353" t="s">
        <v>790</v>
      </c>
      <c r="D353" t="s">
        <v>37</v>
      </c>
      <c r="F353">
        <v>1</v>
      </c>
      <c r="G353">
        <v>1</v>
      </c>
      <c r="K353">
        <v>1</v>
      </c>
      <c r="L353" t="s">
        <v>53</v>
      </c>
      <c r="M353">
        <v>10</v>
      </c>
      <c r="N353" t="s">
        <v>54</v>
      </c>
      <c r="O353">
        <v>10</v>
      </c>
      <c r="P353" t="s">
        <v>41</v>
      </c>
      <c r="Q353" t="s">
        <v>42</v>
      </c>
      <c r="R353" t="s">
        <v>43</v>
      </c>
      <c r="S353" t="s">
        <v>44</v>
      </c>
      <c r="T353" t="s">
        <v>44</v>
      </c>
      <c r="U353" t="s">
        <v>44</v>
      </c>
      <c r="V353" t="s">
        <v>45</v>
      </c>
      <c r="W353" t="s">
        <v>55</v>
      </c>
      <c r="X353" t="s">
        <v>297</v>
      </c>
      <c r="Z353" s="2">
        <v>1000</v>
      </c>
      <c r="AA353" t="s">
        <v>43</v>
      </c>
      <c r="AB353">
        <v>0</v>
      </c>
      <c r="AD353">
        <v>2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>
      <c r="A354" t="s">
        <v>791</v>
      </c>
      <c r="B354" t="s">
        <v>790</v>
      </c>
      <c r="D354" t="s">
        <v>37</v>
      </c>
      <c r="F354">
        <v>1</v>
      </c>
      <c r="G354">
        <v>1</v>
      </c>
      <c r="H354" t="s">
        <v>38</v>
      </c>
      <c r="K354">
        <v>15</v>
      </c>
      <c r="L354" t="s">
        <v>53</v>
      </c>
      <c r="M354">
        <v>15</v>
      </c>
      <c r="N354" t="s">
        <v>498</v>
      </c>
      <c r="O354">
        <v>15</v>
      </c>
      <c r="P354" t="s">
        <v>41</v>
      </c>
      <c r="Q354" t="s">
        <v>42</v>
      </c>
      <c r="R354" t="s">
        <v>43</v>
      </c>
      <c r="S354" t="s">
        <v>44</v>
      </c>
      <c r="T354" t="s">
        <v>44</v>
      </c>
      <c r="U354" t="s">
        <v>44</v>
      </c>
      <c r="V354" t="s">
        <v>45</v>
      </c>
      <c r="W354" t="s">
        <v>55</v>
      </c>
      <c r="X354" t="s">
        <v>297</v>
      </c>
      <c r="Z354" s="2">
        <v>1000</v>
      </c>
      <c r="AA354" t="s">
        <v>44</v>
      </c>
      <c r="AB354">
        <v>1</v>
      </c>
      <c r="AD354">
        <v>2</v>
      </c>
      <c r="AE354">
        <v>53.4</v>
      </c>
      <c r="AF354">
        <v>27.5</v>
      </c>
      <c r="AG354">
        <v>35</v>
      </c>
      <c r="AH354">
        <v>0.05</v>
      </c>
      <c r="AI354">
        <v>16.28</v>
      </c>
    </row>
    <row r="355" hidden="1" spans="1:35">
      <c r="A355" t="s">
        <v>792</v>
      </c>
      <c r="B355" t="s">
        <v>793</v>
      </c>
      <c r="D355" t="s">
        <v>37</v>
      </c>
      <c r="F355">
        <v>1</v>
      </c>
      <c r="G355">
        <v>1</v>
      </c>
      <c r="K355">
        <v>1</v>
      </c>
      <c r="L355" t="s">
        <v>58</v>
      </c>
      <c r="M355">
        <v>36</v>
      </c>
      <c r="N355" t="s">
        <v>59</v>
      </c>
      <c r="O355" s="2">
        <v>3600</v>
      </c>
      <c r="P355" t="s">
        <v>41</v>
      </c>
      <c r="Q355" t="s">
        <v>42</v>
      </c>
      <c r="R355" t="s">
        <v>43</v>
      </c>
      <c r="S355" t="s">
        <v>44</v>
      </c>
      <c r="T355" t="s">
        <v>44</v>
      </c>
      <c r="U355" t="s">
        <v>44</v>
      </c>
      <c r="V355" t="s">
        <v>45</v>
      </c>
      <c r="W355" t="s">
        <v>55</v>
      </c>
      <c r="X355" t="s">
        <v>297</v>
      </c>
      <c r="Z355">
        <v>200</v>
      </c>
      <c r="AA355" t="s">
        <v>43</v>
      </c>
      <c r="AB355">
        <v>0</v>
      </c>
      <c r="AD355">
        <v>2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>
      <c r="A356" t="s">
        <v>794</v>
      </c>
      <c r="B356" t="s">
        <v>793</v>
      </c>
      <c r="D356" t="s">
        <v>37</v>
      </c>
      <c r="F356">
        <v>1</v>
      </c>
      <c r="G356">
        <v>1</v>
      </c>
      <c r="H356" t="s">
        <v>38</v>
      </c>
      <c r="K356">
        <v>12</v>
      </c>
      <c r="L356" t="s">
        <v>58</v>
      </c>
      <c r="M356">
        <v>12</v>
      </c>
      <c r="N356" t="s">
        <v>61</v>
      </c>
      <c r="O356" s="2">
        <v>1200</v>
      </c>
      <c r="P356" t="s">
        <v>41</v>
      </c>
      <c r="Q356" t="s">
        <v>42</v>
      </c>
      <c r="R356" t="s">
        <v>43</v>
      </c>
      <c r="S356" t="s">
        <v>44</v>
      </c>
      <c r="T356" t="s">
        <v>44</v>
      </c>
      <c r="U356" t="s">
        <v>44</v>
      </c>
      <c r="V356" t="s">
        <v>45</v>
      </c>
      <c r="W356" t="s">
        <v>55</v>
      </c>
      <c r="X356" t="s">
        <v>297</v>
      </c>
      <c r="Z356">
        <v>200</v>
      </c>
      <c r="AA356" t="s">
        <v>44</v>
      </c>
      <c r="AB356">
        <v>16</v>
      </c>
      <c r="AD356">
        <v>2</v>
      </c>
      <c r="AE356">
        <v>34.7</v>
      </c>
      <c r="AF356">
        <v>26.5</v>
      </c>
      <c r="AG356">
        <v>17.5</v>
      </c>
      <c r="AH356">
        <v>0.02</v>
      </c>
      <c r="AI356">
        <v>4</v>
      </c>
    </row>
    <row r="357" hidden="1" spans="1:35">
      <c r="A357" t="s">
        <v>795</v>
      </c>
      <c r="B357" t="s">
        <v>796</v>
      </c>
      <c r="D357" t="s">
        <v>37</v>
      </c>
      <c r="F357">
        <v>1</v>
      </c>
      <c r="G357">
        <v>1</v>
      </c>
      <c r="K357">
        <v>1</v>
      </c>
      <c r="L357" t="s">
        <v>53</v>
      </c>
      <c r="M357">
        <v>20</v>
      </c>
      <c r="N357" t="s">
        <v>64</v>
      </c>
      <c r="O357">
        <v>20</v>
      </c>
      <c r="P357" t="s">
        <v>41</v>
      </c>
      <c r="Q357" t="s">
        <v>42</v>
      </c>
      <c r="R357" t="s">
        <v>43</v>
      </c>
      <c r="S357" t="s">
        <v>44</v>
      </c>
      <c r="T357" t="s">
        <v>44</v>
      </c>
      <c r="U357" t="s">
        <v>44</v>
      </c>
      <c r="V357" t="s">
        <v>45</v>
      </c>
      <c r="W357" t="s">
        <v>55</v>
      </c>
      <c r="X357" t="s">
        <v>297</v>
      </c>
      <c r="Z357">
        <v>250</v>
      </c>
      <c r="AA357" t="s">
        <v>44</v>
      </c>
      <c r="AB357">
        <v>0</v>
      </c>
      <c r="AD357">
        <v>2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hidden="1" spans="1:35">
      <c r="A358" t="s">
        <v>797</v>
      </c>
      <c r="B358" t="s">
        <v>798</v>
      </c>
      <c r="D358" t="s">
        <v>37</v>
      </c>
      <c r="F358">
        <v>1</v>
      </c>
      <c r="G358">
        <v>1</v>
      </c>
      <c r="K358">
        <v>1</v>
      </c>
      <c r="L358" t="s">
        <v>53</v>
      </c>
      <c r="M358">
        <v>20</v>
      </c>
      <c r="N358" t="s">
        <v>64</v>
      </c>
      <c r="O358">
        <v>20</v>
      </c>
      <c r="P358" t="s">
        <v>41</v>
      </c>
      <c r="Q358" t="s">
        <v>42</v>
      </c>
      <c r="R358" t="s">
        <v>43</v>
      </c>
      <c r="S358" t="s">
        <v>44</v>
      </c>
      <c r="T358" t="s">
        <v>44</v>
      </c>
      <c r="U358" t="s">
        <v>44</v>
      </c>
      <c r="V358" t="s">
        <v>45</v>
      </c>
      <c r="W358" t="s">
        <v>55</v>
      </c>
      <c r="X358" t="s">
        <v>297</v>
      </c>
      <c r="Z358">
        <v>500</v>
      </c>
      <c r="AA358" t="s">
        <v>43</v>
      </c>
      <c r="AB358">
        <v>0</v>
      </c>
      <c r="AD358">
        <v>2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>
      <c r="A359" t="s">
        <v>799</v>
      </c>
      <c r="B359" t="s">
        <v>798</v>
      </c>
      <c r="D359" t="s">
        <v>37</v>
      </c>
      <c r="F359">
        <v>1</v>
      </c>
      <c r="G359">
        <v>1</v>
      </c>
      <c r="H359" t="s">
        <v>38</v>
      </c>
      <c r="K359">
        <v>26</v>
      </c>
      <c r="L359" t="s">
        <v>53</v>
      </c>
      <c r="M359">
        <v>26</v>
      </c>
      <c r="N359" t="s">
        <v>505</v>
      </c>
      <c r="O359">
        <v>26</v>
      </c>
      <c r="P359" t="s">
        <v>41</v>
      </c>
      <c r="Q359" t="s">
        <v>42</v>
      </c>
      <c r="R359" t="s">
        <v>43</v>
      </c>
      <c r="S359" t="s">
        <v>44</v>
      </c>
      <c r="T359" t="s">
        <v>44</v>
      </c>
      <c r="U359" t="s">
        <v>44</v>
      </c>
      <c r="V359" t="s">
        <v>45</v>
      </c>
      <c r="W359" t="s">
        <v>55</v>
      </c>
      <c r="X359" t="s">
        <v>297</v>
      </c>
      <c r="Z359">
        <v>500</v>
      </c>
      <c r="AA359" t="s">
        <v>44</v>
      </c>
      <c r="AB359">
        <v>0</v>
      </c>
      <c r="AD359">
        <v>2</v>
      </c>
      <c r="AE359">
        <v>53.4</v>
      </c>
      <c r="AF359">
        <v>27.5</v>
      </c>
      <c r="AG359">
        <v>35</v>
      </c>
      <c r="AH359">
        <v>0.05</v>
      </c>
      <c r="AI359">
        <v>14.36</v>
      </c>
    </row>
    <row r="360" spans="1:35">
      <c r="A360" t="s">
        <v>800</v>
      </c>
      <c r="B360" t="s">
        <v>801</v>
      </c>
      <c r="D360" t="s">
        <v>37</v>
      </c>
      <c r="F360">
        <v>1</v>
      </c>
      <c r="G360">
        <v>1</v>
      </c>
      <c r="H360" t="s">
        <v>38</v>
      </c>
      <c r="K360">
        <v>24</v>
      </c>
      <c r="L360" t="s">
        <v>39</v>
      </c>
      <c r="M360">
        <v>24</v>
      </c>
      <c r="N360" t="s">
        <v>40</v>
      </c>
      <c r="O360" s="2">
        <v>2400</v>
      </c>
      <c r="P360" t="s">
        <v>41</v>
      </c>
      <c r="Q360" t="s">
        <v>42</v>
      </c>
      <c r="R360" t="s">
        <v>43</v>
      </c>
      <c r="S360" t="s">
        <v>44</v>
      </c>
      <c r="T360" t="s">
        <v>44</v>
      </c>
      <c r="U360" t="s">
        <v>44</v>
      </c>
      <c r="V360" t="s">
        <v>45</v>
      </c>
      <c r="W360" t="s">
        <v>46</v>
      </c>
      <c r="X360" t="s">
        <v>297</v>
      </c>
      <c r="Z360">
        <v>60</v>
      </c>
      <c r="AA360" t="s">
        <v>44</v>
      </c>
      <c r="AB360">
        <v>0</v>
      </c>
      <c r="AD360">
        <v>2</v>
      </c>
      <c r="AE360">
        <v>31.5</v>
      </c>
      <c r="AF360">
        <v>19.8</v>
      </c>
      <c r="AG360">
        <v>17.6</v>
      </c>
      <c r="AH360">
        <v>0.01</v>
      </c>
      <c r="AI360">
        <v>2.64</v>
      </c>
    </row>
    <row r="361" spans="1:35">
      <c r="A361" t="s">
        <v>802</v>
      </c>
      <c r="B361" t="s">
        <v>803</v>
      </c>
      <c r="D361" t="s">
        <v>37</v>
      </c>
      <c r="F361">
        <v>1</v>
      </c>
      <c r="G361">
        <v>1</v>
      </c>
      <c r="H361" t="s">
        <v>38</v>
      </c>
      <c r="I361">
        <v>12</v>
      </c>
      <c r="J361" t="str">
        <f>IF(OR(ISNUMBER(SEARCH("2Bks",B361)),ISNUMBER(SEARCH("5Bks",B361))),"RencengBNS",IF(ISNUMBER(SEARCH("1Box",B361)),"BoxBNS"," "))</f>
        <v>BoxBNS</v>
      </c>
      <c r="K361">
        <v>2</v>
      </c>
      <c r="L361" t="s">
        <v>39</v>
      </c>
      <c r="M361">
        <v>24</v>
      </c>
      <c r="N361" t="s">
        <v>40</v>
      </c>
      <c r="O361">
        <v>1</v>
      </c>
      <c r="P361" t="s">
        <v>41</v>
      </c>
      <c r="Q361" t="s">
        <v>42</v>
      </c>
      <c r="R361" t="s">
        <v>43</v>
      </c>
      <c r="S361" t="s">
        <v>44</v>
      </c>
      <c r="T361" t="s">
        <v>44</v>
      </c>
      <c r="U361" t="s">
        <v>44</v>
      </c>
      <c r="V361" t="s">
        <v>45</v>
      </c>
      <c r="W361" t="s">
        <v>46</v>
      </c>
      <c r="X361" t="s">
        <v>297</v>
      </c>
      <c r="Z361">
        <v>60</v>
      </c>
      <c r="AA361" t="s">
        <v>44</v>
      </c>
      <c r="AB361">
        <v>0</v>
      </c>
      <c r="AD361">
        <v>2</v>
      </c>
      <c r="AE361">
        <v>34.7</v>
      </c>
      <c r="AF361">
        <v>26.5</v>
      </c>
      <c r="AG361">
        <v>17.5</v>
      </c>
      <c r="AH361">
        <v>0.02</v>
      </c>
      <c r="AI361">
        <v>2.95</v>
      </c>
    </row>
    <row r="362" spans="1:35">
      <c r="A362" t="s">
        <v>804</v>
      </c>
      <c r="B362" t="s">
        <v>805</v>
      </c>
      <c r="D362" t="s">
        <v>37</v>
      </c>
      <c r="F362">
        <v>1</v>
      </c>
      <c r="G362">
        <v>1</v>
      </c>
      <c r="H362" t="s">
        <v>38</v>
      </c>
      <c r="K362">
        <v>6</v>
      </c>
      <c r="L362" t="s">
        <v>53</v>
      </c>
      <c r="M362">
        <v>6</v>
      </c>
      <c r="N362" t="s">
        <v>735</v>
      </c>
      <c r="O362">
        <v>600</v>
      </c>
      <c r="P362" t="s">
        <v>41</v>
      </c>
      <c r="Q362" t="s">
        <v>42</v>
      </c>
      <c r="R362" t="s">
        <v>43</v>
      </c>
      <c r="S362" t="s">
        <v>44</v>
      </c>
      <c r="T362" t="s">
        <v>44</v>
      </c>
      <c r="U362" t="s">
        <v>44</v>
      </c>
      <c r="V362" t="s">
        <v>45</v>
      </c>
      <c r="W362" t="s">
        <v>151</v>
      </c>
      <c r="X362" t="s">
        <v>461</v>
      </c>
      <c r="Z362">
        <v>300</v>
      </c>
      <c r="AA362" t="s">
        <v>44</v>
      </c>
      <c r="AB362">
        <v>0</v>
      </c>
      <c r="AD362">
        <v>2</v>
      </c>
      <c r="AE362">
        <v>39.2</v>
      </c>
      <c r="AF362">
        <v>25</v>
      </c>
      <c r="AG362">
        <v>27.7</v>
      </c>
      <c r="AH362">
        <v>0.03</v>
      </c>
      <c r="AI362" s="2">
        <v>1800</v>
      </c>
    </row>
    <row r="363" spans="1:35">
      <c r="A363" t="s">
        <v>806</v>
      </c>
      <c r="B363" t="s">
        <v>807</v>
      </c>
      <c r="D363" t="s">
        <v>37</v>
      </c>
      <c r="F363">
        <v>1</v>
      </c>
      <c r="G363">
        <v>1</v>
      </c>
      <c r="H363" t="s">
        <v>38</v>
      </c>
      <c r="K363">
        <v>20</v>
      </c>
      <c r="L363" t="s">
        <v>39</v>
      </c>
      <c r="M363">
        <v>20</v>
      </c>
      <c r="N363" t="s">
        <v>50</v>
      </c>
      <c r="O363" s="2">
        <v>2000</v>
      </c>
      <c r="P363" t="s">
        <v>41</v>
      </c>
      <c r="Q363" t="s">
        <v>42</v>
      </c>
      <c r="R363" t="s">
        <v>43</v>
      </c>
      <c r="S363" t="s">
        <v>44</v>
      </c>
      <c r="T363" t="s">
        <v>44</v>
      </c>
      <c r="U363" t="s">
        <v>44</v>
      </c>
      <c r="V363" t="s">
        <v>45</v>
      </c>
      <c r="W363" t="s">
        <v>46</v>
      </c>
      <c r="X363" t="s">
        <v>297</v>
      </c>
      <c r="Z363">
        <v>50</v>
      </c>
      <c r="AA363" t="s">
        <v>44</v>
      </c>
      <c r="AB363">
        <v>17</v>
      </c>
      <c r="AD363">
        <v>2</v>
      </c>
      <c r="AE363">
        <v>28</v>
      </c>
      <c r="AF363">
        <v>21.4</v>
      </c>
      <c r="AG363">
        <v>27.4</v>
      </c>
      <c r="AH363">
        <v>0.02</v>
      </c>
      <c r="AI363">
        <v>2.09</v>
      </c>
    </row>
    <row r="364" hidden="1" spans="1:35">
      <c r="A364" t="s">
        <v>808</v>
      </c>
      <c r="B364" t="s">
        <v>809</v>
      </c>
      <c r="D364" t="s">
        <v>37</v>
      </c>
      <c r="F364">
        <v>1</v>
      </c>
      <c r="G364">
        <v>1</v>
      </c>
      <c r="K364">
        <v>1</v>
      </c>
      <c r="L364" t="s">
        <v>53</v>
      </c>
      <c r="M364">
        <v>20</v>
      </c>
      <c r="N364" t="s">
        <v>64</v>
      </c>
      <c r="O364">
        <v>1</v>
      </c>
      <c r="P364" t="s">
        <v>41</v>
      </c>
      <c r="Q364" t="s">
        <v>42</v>
      </c>
      <c r="R364" t="s">
        <v>43</v>
      </c>
      <c r="S364" t="s">
        <v>44</v>
      </c>
      <c r="T364" t="s">
        <v>44</v>
      </c>
      <c r="U364" t="s">
        <v>44</v>
      </c>
      <c r="V364" t="s">
        <v>45</v>
      </c>
      <c r="W364" t="s">
        <v>55</v>
      </c>
      <c r="X364" t="s">
        <v>297</v>
      </c>
      <c r="Z364">
        <v>250</v>
      </c>
      <c r="AA364" t="s">
        <v>44</v>
      </c>
      <c r="AB364">
        <v>0</v>
      </c>
      <c r="AD364">
        <v>2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hidden="1" spans="1:35">
      <c r="A365" t="s">
        <v>810</v>
      </c>
      <c r="B365" t="s">
        <v>811</v>
      </c>
      <c r="D365" t="s">
        <v>37</v>
      </c>
      <c r="F365">
        <v>1</v>
      </c>
      <c r="G365">
        <v>1</v>
      </c>
      <c r="K365">
        <v>1</v>
      </c>
      <c r="L365" t="s">
        <v>58</v>
      </c>
      <c r="M365">
        <v>36</v>
      </c>
      <c r="N365" t="s">
        <v>59</v>
      </c>
      <c r="O365" s="2">
        <v>3600</v>
      </c>
      <c r="P365" t="s">
        <v>41</v>
      </c>
      <c r="Q365" t="s">
        <v>42</v>
      </c>
      <c r="R365" t="s">
        <v>43</v>
      </c>
      <c r="S365" t="s">
        <v>44</v>
      </c>
      <c r="T365" t="s">
        <v>44</v>
      </c>
      <c r="U365" t="s">
        <v>44</v>
      </c>
      <c r="V365" t="s">
        <v>45</v>
      </c>
      <c r="W365" t="s">
        <v>55</v>
      </c>
      <c r="X365" t="s">
        <v>297</v>
      </c>
      <c r="Z365">
        <v>200</v>
      </c>
      <c r="AA365" t="s">
        <v>44</v>
      </c>
      <c r="AB365">
        <v>0</v>
      </c>
      <c r="AD365">
        <v>2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>
      <c r="A366" t="s">
        <v>812</v>
      </c>
      <c r="B366" t="s">
        <v>811</v>
      </c>
      <c r="D366" t="s">
        <v>37</v>
      </c>
      <c r="F366">
        <v>1</v>
      </c>
      <c r="G366">
        <v>1</v>
      </c>
      <c r="H366" t="s">
        <v>38</v>
      </c>
      <c r="K366">
        <v>12</v>
      </c>
      <c r="L366" t="s">
        <v>58</v>
      </c>
      <c r="M366">
        <v>12</v>
      </c>
      <c r="N366" t="s">
        <v>61</v>
      </c>
      <c r="O366" s="2">
        <v>1200</v>
      </c>
      <c r="P366" t="s">
        <v>41</v>
      </c>
      <c r="Q366" t="s">
        <v>42</v>
      </c>
      <c r="R366" t="s">
        <v>43</v>
      </c>
      <c r="S366" t="s">
        <v>44</v>
      </c>
      <c r="T366" t="s">
        <v>44</v>
      </c>
      <c r="U366" t="s">
        <v>44</v>
      </c>
      <c r="V366" t="s">
        <v>45</v>
      </c>
      <c r="W366" t="s">
        <v>55</v>
      </c>
      <c r="X366" t="s">
        <v>297</v>
      </c>
      <c r="Z366">
        <v>200</v>
      </c>
      <c r="AA366" t="s">
        <v>44</v>
      </c>
      <c r="AB366">
        <v>9</v>
      </c>
      <c r="AD366">
        <v>2</v>
      </c>
      <c r="AE366">
        <v>34.7</v>
      </c>
      <c r="AF366">
        <v>26.5</v>
      </c>
      <c r="AG366">
        <v>17.5</v>
      </c>
      <c r="AH366">
        <v>0.02</v>
      </c>
      <c r="AI366">
        <v>4</v>
      </c>
    </row>
    <row r="367" spans="1:35">
      <c r="A367" t="s">
        <v>813</v>
      </c>
      <c r="B367" t="s">
        <v>814</v>
      </c>
      <c r="D367" t="s">
        <v>37</v>
      </c>
      <c r="F367">
        <v>1</v>
      </c>
      <c r="G367">
        <v>1</v>
      </c>
      <c r="H367" t="s">
        <v>38</v>
      </c>
      <c r="K367">
        <v>24</v>
      </c>
      <c r="L367" t="s">
        <v>39</v>
      </c>
      <c r="M367">
        <v>24</v>
      </c>
      <c r="N367" t="s">
        <v>40</v>
      </c>
      <c r="O367" s="2">
        <v>2400</v>
      </c>
      <c r="P367" t="s">
        <v>41</v>
      </c>
      <c r="Q367" t="s">
        <v>42</v>
      </c>
      <c r="R367" t="s">
        <v>43</v>
      </c>
      <c r="S367" t="s">
        <v>44</v>
      </c>
      <c r="T367" t="s">
        <v>44</v>
      </c>
      <c r="U367" t="s">
        <v>44</v>
      </c>
      <c r="V367" t="s">
        <v>45</v>
      </c>
      <c r="W367" t="s">
        <v>46</v>
      </c>
      <c r="X367" t="s">
        <v>297</v>
      </c>
      <c r="Z367">
        <v>60</v>
      </c>
      <c r="AA367" t="s">
        <v>44</v>
      </c>
      <c r="AB367">
        <v>40</v>
      </c>
      <c r="AD367">
        <v>2</v>
      </c>
      <c r="AE367">
        <v>31.5</v>
      </c>
      <c r="AF367">
        <v>19.8</v>
      </c>
      <c r="AG367">
        <v>17.6</v>
      </c>
      <c r="AH367">
        <v>0.01</v>
      </c>
      <c r="AI367">
        <v>2.64</v>
      </c>
    </row>
    <row r="368" spans="1:35">
      <c r="A368" t="s">
        <v>815</v>
      </c>
      <c r="B368" t="s">
        <v>816</v>
      </c>
      <c r="D368" t="s">
        <v>37</v>
      </c>
      <c r="F368">
        <v>1</v>
      </c>
      <c r="G368">
        <v>1</v>
      </c>
      <c r="H368" t="s">
        <v>38</v>
      </c>
      <c r="I368">
        <v>12</v>
      </c>
      <c r="J368" t="str">
        <f>IF(OR(ISNUMBER(SEARCH("2Bks",B368)),ISNUMBER(SEARCH("5Bks",B368))),"RencengBNS",IF(ISNUMBER(SEARCH("1Box",B368)),"BoxBNS"," "))</f>
        <v>BoxBNS</v>
      </c>
      <c r="K368">
        <v>2</v>
      </c>
      <c r="L368" t="s">
        <v>39</v>
      </c>
      <c r="M368">
        <v>24</v>
      </c>
      <c r="N368" t="s">
        <v>40</v>
      </c>
      <c r="O368">
        <v>1</v>
      </c>
      <c r="P368" t="s">
        <v>41</v>
      </c>
      <c r="Q368" t="s">
        <v>42</v>
      </c>
      <c r="R368" t="s">
        <v>43</v>
      </c>
      <c r="S368" t="s">
        <v>44</v>
      </c>
      <c r="T368" t="s">
        <v>44</v>
      </c>
      <c r="U368" t="s">
        <v>44</v>
      </c>
      <c r="V368" t="s">
        <v>45</v>
      </c>
      <c r="W368" t="s">
        <v>46</v>
      </c>
      <c r="X368" t="s">
        <v>297</v>
      </c>
      <c r="Z368">
        <v>60</v>
      </c>
      <c r="AA368" t="s">
        <v>44</v>
      </c>
      <c r="AB368">
        <v>0</v>
      </c>
      <c r="AD368">
        <v>2</v>
      </c>
      <c r="AE368">
        <v>34.7</v>
      </c>
      <c r="AF368">
        <v>26.5</v>
      </c>
      <c r="AG368">
        <v>17.5</v>
      </c>
      <c r="AH368">
        <v>0.02</v>
      </c>
      <c r="AI368">
        <v>2.95</v>
      </c>
    </row>
    <row r="369" spans="1:35">
      <c r="A369" t="s">
        <v>817</v>
      </c>
      <c r="B369" t="s">
        <v>818</v>
      </c>
      <c r="D369" t="s">
        <v>37</v>
      </c>
      <c r="F369">
        <v>1</v>
      </c>
      <c r="G369">
        <v>1</v>
      </c>
      <c r="H369" t="s">
        <v>38</v>
      </c>
      <c r="K369">
        <v>6</v>
      </c>
      <c r="L369" t="s">
        <v>53</v>
      </c>
      <c r="M369">
        <v>6</v>
      </c>
      <c r="N369" t="s">
        <v>735</v>
      </c>
      <c r="O369">
        <v>600</v>
      </c>
      <c r="P369" t="s">
        <v>41</v>
      </c>
      <c r="Q369" t="s">
        <v>42</v>
      </c>
      <c r="R369" t="s">
        <v>43</v>
      </c>
      <c r="S369" t="s">
        <v>44</v>
      </c>
      <c r="T369" t="s">
        <v>44</v>
      </c>
      <c r="U369" t="s">
        <v>44</v>
      </c>
      <c r="V369" t="s">
        <v>45</v>
      </c>
      <c r="W369" t="s">
        <v>151</v>
      </c>
      <c r="X369" t="s">
        <v>461</v>
      </c>
      <c r="Z369">
        <v>300</v>
      </c>
      <c r="AA369" t="s">
        <v>44</v>
      </c>
      <c r="AB369">
        <v>0</v>
      </c>
      <c r="AD369">
        <v>2</v>
      </c>
      <c r="AE369">
        <v>39.2</v>
      </c>
      <c r="AF369">
        <v>25</v>
      </c>
      <c r="AG369">
        <v>27.7</v>
      </c>
      <c r="AH369">
        <v>0.03</v>
      </c>
      <c r="AI369" s="2">
        <v>1800</v>
      </c>
    </row>
    <row r="370" spans="1:35">
      <c r="A370" t="s">
        <v>819</v>
      </c>
      <c r="B370" t="s">
        <v>820</v>
      </c>
      <c r="D370" t="s">
        <v>37</v>
      </c>
      <c r="F370">
        <v>1</v>
      </c>
      <c r="G370">
        <v>1</v>
      </c>
      <c r="H370" t="s">
        <v>38</v>
      </c>
      <c r="K370">
        <v>20</v>
      </c>
      <c r="L370" t="s">
        <v>39</v>
      </c>
      <c r="M370">
        <v>20</v>
      </c>
      <c r="N370" t="s">
        <v>50</v>
      </c>
      <c r="O370" s="2">
        <v>2000</v>
      </c>
      <c r="P370" t="s">
        <v>41</v>
      </c>
      <c r="Q370" t="s">
        <v>42</v>
      </c>
      <c r="R370" t="s">
        <v>43</v>
      </c>
      <c r="S370" t="s">
        <v>44</v>
      </c>
      <c r="T370" t="s">
        <v>44</v>
      </c>
      <c r="U370" t="s">
        <v>44</v>
      </c>
      <c r="V370" t="s">
        <v>45</v>
      </c>
      <c r="W370" t="s">
        <v>46</v>
      </c>
      <c r="X370" t="s">
        <v>297</v>
      </c>
      <c r="Z370">
        <v>50</v>
      </c>
      <c r="AA370" t="s">
        <v>44</v>
      </c>
      <c r="AB370">
        <v>53</v>
      </c>
      <c r="AD370">
        <v>2</v>
      </c>
      <c r="AE370">
        <v>28</v>
      </c>
      <c r="AF370">
        <v>21.4</v>
      </c>
      <c r="AG370">
        <v>27.4</v>
      </c>
      <c r="AH370">
        <v>0.02</v>
      </c>
      <c r="AI370">
        <v>2.09</v>
      </c>
    </row>
    <row r="371" hidden="1" spans="1:35">
      <c r="A371" t="s">
        <v>821</v>
      </c>
      <c r="B371" t="s">
        <v>822</v>
      </c>
      <c r="D371" t="s">
        <v>37</v>
      </c>
      <c r="F371">
        <v>1</v>
      </c>
      <c r="G371">
        <v>1</v>
      </c>
      <c r="K371">
        <v>1</v>
      </c>
      <c r="L371" t="s">
        <v>39</v>
      </c>
      <c r="M371">
        <v>36</v>
      </c>
      <c r="N371" t="s">
        <v>186</v>
      </c>
      <c r="O371" s="2">
        <v>3600</v>
      </c>
      <c r="P371" t="s">
        <v>41</v>
      </c>
      <c r="Q371" t="s">
        <v>42</v>
      </c>
      <c r="R371" t="s">
        <v>43</v>
      </c>
      <c r="S371" t="s">
        <v>44</v>
      </c>
      <c r="T371" t="s">
        <v>44</v>
      </c>
      <c r="U371" t="s">
        <v>44</v>
      </c>
      <c r="V371" t="s">
        <v>45</v>
      </c>
      <c r="W371" t="s">
        <v>46</v>
      </c>
      <c r="X371" t="s">
        <v>297</v>
      </c>
      <c r="Z371">
        <v>200</v>
      </c>
      <c r="AA371" t="s">
        <v>44</v>
      </c>
      <c r="AB371">
        <v>0</v>
      </c>
      <c r="AD371">
        <v>2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hidden="1" spans="1:35">
      <c r="A372" t="s">
        <v>823</v>
      </c>
      <c r="B372" t="s">
        <v>824</v>
      </c>
      <c r="D372" t="s">
        <v>37</v>
      </c>
      <c r="F372">
        <v>1</v>
      </c>
      <c r="G372">
        <v>1</v>
      </c>
      <c r="K372">
        <v>1</v>
      </c>
      <c r="L372" t="s">
        <v>53</v>
      </c>
      <c r="M372">
        <v>20</v>
      </c>
      <c r="N372" t="s">
        <v>64</v>
      </c>
      <c r="O372">
        <v>1</v>
      </c>
      <c r="P372" t="s">
        <v>41</v>
      </c>
      <c r="Q372" t="s">
        <v>42</v>
      </c>
      <c r="R372" t="s">
        <v>43</v>
      </c>
      <c r="S372" t="s">
        <v>44</v>
      </c>
      <c r="T372" t="s">
        <v>44</v>
      </c>
      <c r="U372" t="s">
        <v>44</v>
      </c>
      <c r="V372" t="s">
        <v>45</v>
      </c>
      <c r="W372" t="s">
        <v>55</v>
      </c>
      <c r="X372" t="s">
        <v>297</v>
      </c>
      <c r="Z372">
        <v>250</v>
      </c>
      <c r="AA372" t="s">
        <v>44</v>
      </c>
      <c r="AB372">
        <v>0</v>
      </c>
      <c r="AD372">
        <v>2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>
      <c r="A373" t="s">
        <v>825</v>
      </c>
      <c r="B373" t="s">
        <v>826</v>
      </c>
      <c r="D373" t="s">
        <v>37</v>
      </c>
      <c r="F373">
        <v>1</v>
      </c>
      <c r="G373">
        <v>1</v>
      </c>
      <c r="H373" t="s">
        <v>38</v>
      </c>
      <c r="K373">
        <v>10</v>
      </c>
      <c r="L373" t="s">
        <v>53</v>
      </c>
      <c r="M373">
        <v>10</v>
      </c>
      <c r="N373" t="s">
        <v>54</v>
      </c>
      <c r="O373">
        <v>10</v>
      </c>
      <c r="P373" t="s">
        <v>41</v>
      </c>
      <c r="Q373" t="s">
        <v>42</v>
      </c>
      <c r="R373" t="s">
        <v>43</v>
      </c>
      <c r="S373" t="s">
        <v>44</v>
      </c>
      <c r="T373" t="s">
        <v>44</v>
      </c>
      <c r="U373" t="s">
        <v>44</v>
      </c>
      <c r="V373" t="s">
        <v>45</v>
      </c>
      <c r="W373" t="s">
        <v>55</v>
      </c>
      <c r="X373" t="s">
        <v>297</v>
      </c>
      <c r="Z373" s="2">
        <v>1000</v>
      </c>
      <c r="AA373" t="s">
        <v>43</v>
      </c>
      <c r="AB373">
        <v>0</v>
      </c>
      <c r="AD373">
        <v>2</v>
      </c>
      <c r="AE373">
        <v>53.4</v>
      </c>
      <c r="AF373">
        <v>27.5</v>
      </c>
      <c r="AG373">
        <v>35</v>
      </c>
      <c r="AH373">
        <v>0.05</v>
      </c>
      <c r="AI373">
        <v>16.28</v>
      </c>
    </row>
    <row r="374" spans="1:35">
      <c r="A374" t="s">
        <v>827</v>
      </c>
      <c r="B374" t="s">
        <v>826</v>
      </c>
      <c r="D374" t="s">
        <v>37</v>
      </c>
      <c r="F374">
        <v>1</v>
      </c>
      <c r="G374">
        <v>1</v>
      </c>
      <c r="H374" t="s">
        <v>38</v>
      </c>
      <c r="K374">
        <v>15</v>
      </c>
      <c r="L374" t="s">
        <v>53</v>
      </c>
      <c r="M374">
        <v>15</v>
      </c>
      <c r="N374" t="s">
        <v>498</v>
      </c>
      <c r="O374">
        <v>15</v>
      </c>
      <c r="P374" t="s">
        <v>41</v>
      </c>
      <c r="Q374" t="s">
        <v>42</v>
      </c>
      <c r="R374" t="s">
        <v>43</v>
      </c>
      <c r="S374" t="s">
        <v>44</v>
      </c>
      <c r="T374" t="s">
        <v>44</v>
      </c>
      <c r="U374" t="s">
        <v>44</v>
      </c>
      <c r="V374" t="s">
        <v>45</v>
      </c>
      <c r="W374" t="s">
        <v>55</v>
      </c>
      <c r="X374" t="s">
        <v>297</v>
      </c>
      <c r="Z374" s="2">
        <v>1000</v>
      </c>
      <c r="AA374" t="s">
        <v>44</v>
      </c>
      <c r="AB374">
        <v>0</v>
      </c>
      <c r="AD374">
        <v>2</v>
      </c>
      <c r="AE374">
        <v>53.4</v>
      </c>
      <c r="AF374">
        <v>27.5</v>
      </c>
      <c r="AG374">
        <v>35</v>
      </c>
      <c r="AH374">
        <v>0.05</v>
      </c>
      <c r="AI374">
        <v>16.28</v>
      </c>
    </row>
    <row r="375" hidden="1" spans="1:35">
      <c r="A375" t="s">
        <v>828</v>
      </c>
      <c r="B375" t="s">
        <v>829</v>
      </c>
      <c r="D375" t="s">
        <v>37</v>
      </c>
      <c r="F375">
        <v>1</v>
      </c>
      <c r="G375">
        <v>1</v>
      </c>
      <c r="K375">
        <v>1</v>
      </c>
      <c r="L375" t="s">
        <v>58</v>
      </c>
      <c r="M375">
        <v>36</v>
      </c>
      <c r="N375" t="s">
        <v>59</v>
      </c>
      <c r="O375" s="2">
        <v>3600</v>
      </c>
      <c r="P375" t="s">
        <v>41</v>
      </c>
      <c r="Q375" t="s">
        <v>42</v>
      </c>
      <c r="R375" t="s">
        <v>43</v>
      </c>
      <c r="S375" t="s">
        <v>44</v>
      </c>
      <c r="T375" t="s">
        <v>44</v>
      </c>
      <c r="U375" t="s">
        <v>44</v>
      </c>
      <c r="V375" t="s">
        <v>45</v>
      </c>
      <c r="W375" t="s">
        <v>55</v>
      </c>
      <c r="X375" t="s">
        <v>297</v>
      </c>
      <c r="Z375">
        <v>200</v>
      </c>
      <c r="AA375" t="s">
        <v>43</v>
      </c>
      <c r="AB375">
        <v>0</v>
      </c>
      <c r="AD375">
        <v>2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>
      <c r="A376" t="s">
        <v>830</v>
      </c>
      <c r="B376" t="s">
        <v>829</v>
      </c>
      <c r="D376" t="s">
        <v>37</v>
      </c>
      <c r="F376">
        <v>1</v>
      </c>
      <c r="G376">
        <v>1</v>
      </c>
      <c r="H376" t="s">
        <v>38</v>
      </c>
      <c r="K376">
        <v>12</v>
      </c>
      <c r="L376" t="s">
        <v>58</v>
      </c>
      <c r="M376">
        <v>12</v>
      </c>
      <c r="N376" t="s">
        <v>61</v>
      </c>
      <c r="O376" s="2">
        <v>1200</v>
      </c>
      <c r="P376" t="s">
        <v>41</v>
      </c>
      <c r="Q376" t="s">
        <v>42</v>
      </c>
      <c r="R376" t="s">
        <v>43</v>
      </c>
      <c r="S376" t="s">
        <v>44</v>
      </c>
      <c r="T376" t="s">
        <v>44</v>
      </c>
      <c r="U376" t="s">
        <v>44</v>
      </c>
      <c r="V376" t="s">
        <v>45</v>
      </c>
      <c r="W376" t="s">
        <v>55</v>
      </c>
      <c r="X376" t="s">
        <v>297</v>
      </c>
      <c r="Z376">
        <v>200</v>
      </c>
      <c r="AA376" t="s">
        <v>44</v>
      </c>
      <c r="AB376">
        <v>4</v>
      </c>
      <c r="AD376">
        <v>2</v>
      </c>
      <c r="AE376">
        <v>34.7</v>
      </c>
      <c r="AF376">
        <v>26.5</v>
      </c>
      <c r="AG376">
        <v>17.5</v>
      </c>
      <c r="AH376">
        <v>0.02</v>
      </c>
      <c r="AI376">
        <v>4</v>
      </c>
    </row>
    <row r="377" hidden="1" spans="1:35">
      <c r="A377" t="s">
        <v>831</v>
      </c>
      <c r="B377" t="s">
        <v>832</v>
      </c>
      <c r="D377" t="s">
        <v>37</v>
      </c>
      <c r="F377">
        <v>1</v>
      </c>
      <c r="G377">
        <v>1</v>
      </c>
      <c r="K377">
        <v>1</v>
      </c>
      <c r="L377" t="s">
        <v>53</v>
      </c>
      <c r="M377">
        <v>20</v>
      </c>
      <c r="N377" t="s">
        <v>64</v>
      </c>
      <c r="O377" s="2">
        <v>2000</v>
      </c>
      <c r="P377" t="s">
        <v>41</v>
      </c>
      <c r="Q377" t="s">
        <v>42</v>
      </c>
      <c r="R377" t="s">
        <v>43</v>
      </c>
      <c r="S377" t="s">
        <v>44</v>
      </c>
      <c r="T377" t="s">
        <v>44</v>
      </c>
      <c r="U377" t="s">
        <v>44</v>
      </c>
      <c r="V377" t="s">
        <v>45</v>
      </c>
      <c r="W377" t="s">
        <v>55</v>
      </c>
      <c r="X377" t="s">
        <v>297</v>
      </c>
      <c r="Z377">
        <v>250</v>
      </c>
      <c r="AA377" t="s">
        <v>44</v>
      </c>
      <c r="AB377">
        <v>0</v>
      </c>
      <c r="AD377">
        <v>2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hidden="1" spans="1:35">
      <c r="A378" t="s">
        <v>833</v>
      </c>
      <c r="B378" t="s">
        <v>834</v>
      </c>
      <c r="D378" t="s">
        <v>37</v>
      </c>
      <c r="F378">
        <v>1</v>
      </c>
      <c r="G378">
        <v>1</v>
      </c>
      <c r="K378">
        <v>1</v>
      </c>
      <c r="L378" t="s">
        <v>53</v>
      </c>
      <c r="M378">
        <v>20</v>
      </c>
      <c r="N378" t="s">
        <v>64</v>
      </c>
      <c r="O378">
        <v>20</v>
      </c>
      <c r="P378" t="s">
        <v>41</v>
      </c>
      <c r="Q378" t="s">
        <v>42</v>
      </c>
      <c r="R378" t="s">
        <v>43</v>
      </c>
      <c r="S378" t="s">
        <v>44</v>
      </c>
      <c r="T378" t="s">
        <v>44</v>
      </c>
      <c r="U378" t="s">
        <v>44</v>
      </c>
      <c r="V378" t="s">
        <v>45</v>
      </c>
      <c r="W378" t="s">
        <v>55</v>
      </c>
      <c r="X378" t="s">
        <v>297</v>
      </c>
      <c r="Z378">
        <v>500</v>
      </c>
      <c r="AA378" t="s">
        <v>43</v>
      </c>
      <c r="AB378">
        <v>0</v>
      </c>
      <c r="AD378">
        <v>2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>
      <c r="A379" t="s">
        <v>835</v>
      </c>
      <c r="B379" t="s">
        <v>834</v>
      </c>
      <c r="D379" t="s">
        <v>37</v>
      </c>
      <c r="F379">
        <v>1</v>
      </c>
      <c r="G379">
        <v>1</v>
      </c>
      <c r="H379" t="s">
        <v>38</v>
      </c>
      <c r="K379">
        <v>26</v>
      </c>
      <c r="L379" t="s">
        <v>53</v>
      </c>
      <c r="M379">
        <v>26</v>
      </c>
      <c r="N379" t="s">
        <v>505</v>
      </c>
      <c r="O379">
        <v>26</v>
      </c>
      <c r="P379" t="s">
        <v>41</v>
      </c>
      <c r="Q379" t="s">
        <v>42</v>
      </c>
      <c r="R379" t="s">
        <v>43</v>
      </c>
      <c r="S379" t="s">
        <v>44</v>
      </c>
      <c r="T379" t="s">
        <v>44</v>
      </c>
      <c r="U379" t="s">
        <v>44</v>
      </c>
      <c r="V379" t="s">
        <v>45</v>
      </c>
      <c r="W379" t="s">
        <v>55</v>
      </c>
      <c r="X379" t="s">
        <v>297</v>
      </c>
      <c r="Z379">
        <v>500</v>
      </c>
      <c r="AA379" t="s">
        <v>44</v>
      </c>
      <c r="AB379">
        <v>0</v>
      </c>
      <c r="AD379">
        <v>2</v>
      </c>
      <c r="AE379">
        <v>53.4</v>
      </c>
      <c r="AF379">
        <v>27.5</v>
      </c>
      <c r="AG379">
        <v>35</v>
      </c>
      <c r="AH379">
        <v>0.05</v>
      </c>
      <c r="AI379">
        <v>14.36</v>
      </c>
    </row>
    <row r="380" spans="1:35">
      <c r="A380" t="s">
        <v>836</v>
      </c>
      <c r="B380" t="s">
        <v>837</v>
      </c>
      <c r="D380" t="s">
        <v>37</v>
      </c>
      <c r="F380">
        <v>1</v>
      </c>
      <c r="G380">
        <v>1</v>
      </c>
      <c r="H380" t="s">
        <v>38</v>
      </c>
      <c r="K380">
        <v>24</v>
      </c>
      <c r="L380" t="s">
        <v>39</v>
      </c>
      <c r="M380">
        <v>24</v>
      </c>
      <c r="N380" t="s">
        <v>40</v>
      </c>
      <c r="O380" s="2">
        <v>2400</v>
      </c>
      <c r="P380" t="s">
        <v>41</v>
      </c>
      <c r="Q380" t="s">
        <v>42</v>
      </c>
      <c r="R380" t="s">
        <v>43</v>
      </c>
      <c r="S380" t="s">
        <v>44</v>
      </c>
      <c r="T380" t="s">
        <v>44</v>
      </c>
      <c r="U380" t="s">
        <v>44</v>
      </c>
      <c r="V380" t="s">
        <v>45</v>
      </c>
      <c r="W380" t="s">
        <v>46</v>
      </c>
      <c r="X380" t="s">
        <v>297</v>
      </c>
      <c r="Z380">
        <v>60</v>
      </c>
      <c r="AA380" t="s">
        <v>44</v>
      </c>
      <c r="AB380">
        <v>0</v>
      </c>
      <c r="AD380">
        <v>2</v>
      </c>
      <c r="AE380">
        <v>31.5</v>
      </c>
      <c r="AF380">
        <v>19.8</v>
      </c>
      <c r="AG380">
        <v>17.6</v>
      </c>
      <c r="AH380">
        <v>0.01</v>
      </c>
      <c r="AI380">
        <v>2.64</v>
      </c>
    </row>
    <row r="381" spans="1:35">
      <c r="A381" t="s">
        <v>838</v>
      </c>
      <c r="B381" t="s">
        <v>839</v>
      </c>
      <c r="D381" t="s">
        <v>37</v>
      </c>
      <c r="F381">
        <v>1</v>
      </c>
      <c r="G381">
        <v>1</v>
      </c>
      <c r="H381" t="s">
        <v>38</v>
      </c>
      <c r="I381">
        <v>12</v>
      </c>
      <c r="J381" t="str">
        <f>IF(OR(ISNUMBER(SEARCH("2Bks",B381)),ISNUMBER(SEARCH("5Bks",B381))),"RencengBNS",IF(ISNUMBER(SEARCH("1Box",B381)),"BoxBNS"," "))</f>
        <v>BoxBNS</v>
      </c>
      <c r="K381">
        <v>2</v>
      </c>
      <c r="L381" t="s">
        <v>39</v>
      </c>
      <c r="M381">
        <v>24</v>
      </c>
      <c r="N381" t="s">
        <v>40</v>
      </c>
      <c r="O381">
        <v>1</v>
      </c>
      <c r="P381" t="s">
        <v>41</v>
      </c>
      <c r="Q381" t="s">
        <v>42</v>
      </c>
      <c r="R381" t="s">
        <v>43</v>
      </c>
      <c r="S381" t="s">
        <v>44</v>
      </c>
      <c r="T381" t="s">
        <v>44</v>
      </c>
      <c r="U381" t="s">
        <v>44</v>
      </c>
      <c r="V381" t="s">
        <v>45</v>
      </c>
      <c r="W381" t="s">
        <v>46</v>
      </c>
      <c r="X381" t="s">
        <v>297</v>
      </c>
      <c r="Z381">
        <v>60</v>
      </c>
      <c r="AA381" t="s">
        <v>44</v>
      </c>
      <c r="AB381">
        <v>0</v>
      </c>
      <c r="AD381">
        <v>2</v>
      </c>
      <c r="AE381">
        <v>34.7</v>
      </c>
      <c r="AF381">
        <v>26.5</v>
      </c>
      <c r="AG381">
        <v>17.5</v>
      </c>
      <c r="AH381">
        <v>0.02</v>
      </c>
      <c r="AI381">
        <v>2.95</v>
      </c>
    </row>
    <row r="382" spans="1:35">
      <c r="A382" t="s">
        <v>840</v>
      </c>
      <c r="B382" t="s">
        <v>841</v>
      </c>
      <c r="D382" t="s">
        <v>37</v>
      </c>
      <c r="F382">
        <v>1</v>
      </c>
      <c r="G382">
        <v>1</v>
      </c>
      <c r="H382" t="s">
        <v>38</v>
      </c>
      <c r="K382">
        <v>6</v>
      </c>
      <c r="L382" t="s">
        <v>53</v>
      </c>
      <c r="M382">
        <v>6</v>
      </c>
      <c r="N382" t="s">
        <v>735</v>
      </c>
      <c r="O382">
        <v>600</v>
      </c>
      <c r="P382" t="s">
        <v>41</v>
      </c>
      <c r="Q382" t="s">
        <v>42</v>
      </c>
      <c r="R382" t="s">
        <v>43</v>
      </c>
      <c r="S382" t="s">
        <v>44</v>
      </c>
      <c r="T382" t="s">
        <v>44</v>
      </c>
      <c r="U382" t="s">
        <v>44</v>
      </c>
      <c r="V382" t="s">
        <v>45</v>
      </c>
      <c r="W382" t="s">
        <v>151</v>
      </c>
      <c r="X382" t="s">
        <v>461</v>
      </c>
      <c r="Z382">
        <v>300</v>
      </c>
      <c r="AA382" t="s">
        <v>44</v>
      </c>
      <c r="AB382">
        <v>0</v>
      </c>
      <c r="AD382">
        <v>2</v>
      </c>
      <c r="AE382">
        <v>39.2</v>
      </c>
      <c r="AF382">
        <v>25</v>
      </c>
      <c r="AG382">
        <v>27.7</v>
      </c>
      <c r="AH382">
        <v>0.03</v>
      </c>
      <c r="AI382" s="2">
        <v>1800</v>
      </c>
    </row>
    <row r="383" spans="1:35">
      <c r="A383" t="s">
        <v>842</v>
      </c>
      <c r="B383" t="s">
        <v>843</v>
      </c>
      <c r="D383" t="s">
        <v>37</v>
      </c>
      <c r="F383">
        <v>1</v>
      </c>
      <c r="G383">
        <v>1</v>
      </c>
      <c r="H383" t="s">
        <v>38</v>
      </c>
      <c r="K383">
        <v>20</v>
      </c>
      <c r="L383" t="s">
        <v>39</v>
      </c>
      <c r="M383">
        <v>20</v>
      </c>
      <c r="N383" t="s">
        <v>50</v>
      </c>
      <c r="O383" s="2">
        <v>2000</v>
      </c>
      <c r="P383" t="s">
        <v>41</v>
      </c>
      <c r="Q383" t="s">
        <v>42</v>
      </c>
      <c r="R383" t="s">
        <v>43</v>
      </c>
      <c r="S383" t="s">
        <v>44</v>
      </c>
      <c r="T383" t="s">
        <v>44</v>
      </c>
      <c r="U383" t="s">
        <v>44</v>
      </c>
      <c r="V383" t="s">
        <v>45</v>
      </c>
      <c r="W383" t="s">
        <v>46</v>
      </c>
      <c r="X383" t="s">
        <v>297</v>
      </c>
      <c r="Z383">
        <v>50</v>
      </c>
      <c r="AA383" t="s">
        <v>44</v>
      </c>
      <c r="AB383">
        <v>11</v>
      </c>
      <c r="AD383">
        <v>2</v>
      </c>
      <c r="AE383">
        <v>28</v>
      </c>
      <c r="AF383">
        <v>21.4</v>
      </c>
      <c r="AG383">
        <v>27.4</v>
      </c>
      <c r="AH383">
        <v>0.02</v>
      </c>
      <c r="AI383">
        <v>2.09</v>
      </c>
    </row>
    <row r="384" hidden="1" spans="1:35">
      <c r="A384" t="s">
        <v>844</v>
      </c>
      <c r="B384" t="s">
        <v>845</v>
      </c>
      <c r="D384" t="s">
        <v>37</v>
      </c>
      <c r="F384">
        <v>1</v>
      </c>
      <c r="G384">
        <v>1</v>
      </c>
      <c r="K384">
        <v>1</v>
      </c>
      <c r="L384" t="s">
        <v>58</v>
      </c>
      <c r="M384">
        <v>36</v>
      </c>
      <c r="N384" t="s">
        <v>59</v>
      </c>
      <c r="O384" s="2">
        <v>3600</v>
      </c>
      <c r="P384" t="s">
        <v>41</v>
      </c>
      <c r="Q384" t="s">
        <v>42</v>
      </c>
      <c r="R384" t="s">
        <v>43</v>
      </c>
      <c r="S384" t="s">
        <v>44</v>
      </c>
      <c r="T384" t="s">
        <v>44</v>
      </c>
      <c r="U384" t="s">
        <v>44</v>
      </c>
      <c r="V384" t="s">
        <v>45</v>
      </c>
      <c r="W384" t="s">
        <v>55</v>
      </c>
      <c r="X384" t="s">
        <v>297</v>
      </c>
      <c r="Z384">
        <v>200</v>
      </c>
      <c r="AA384" t="s">
        <v>44</v>
      </c>
      <c r="AB384">
        <v>0</v>
      </c>
      <c r="AD384">
        <v>2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>
      <c r="A385" t="s">
        <v>846</v>
      </c>
      <c r="B385" t="s">
        <v>845</v>
      </c>
      <c r="D385" t="s">
        <v>37</v>
      </c>
      <c r="F385">
        <v>1</v>
      </c>
      <c r="G385">
        <v>1</v>
      </c>
      <c r="H385" t="s">
        <v>38</v>
      </c>
      <c r="K385">
        <v>12</v>
      </c>
      <c r="L385" t="s">
        <v>58</v>
      </c>
      <c r="M385">
        <v>12</v>
      </c>
      <c r="N385" t="s">
        <v>61</v>
      </c>
      <c r="O385" s="2">
        <v>1200</v>
      </c>
      <c r="P385" t="s">
        <v>41</v>
      </c>
      <c r="Q385" t="s">
        <v>42</v>
      </c>
      <c r="R385" t="s">
        <v>43</v>
      </c>
      <c r="S385" t="s">
        <v>44</v>
      </c>
      <c r="T385" t="s">
        <v>44</v>
      </c>
      <c r="U385" t="s">
        <v>44</v>
      </c>
      <c r="V385" t="s">
        <v>45</v>
      </c>
      <c r="W385" t="s">
        <v>55</v>
      </c>
      <c r="X385" t="s">
        <v>297</v>
      </c>
      <c r="Z385">
        <v>200</v>
      </c>
      <c r="AA385" t="s">
        <v>44</v>
      </c>
      <c r="AB385">
        <v>1</v>
      </c>
      <c r="AD385">
        <v>2</v>
      </c>
      <c r="AE385">
        <v>34.7</v>
      </c>
      <c r="AF385">
        <v>26.5</v>
      </c>
      <c r="AG385">
        <v>17.5</v>
      </c>
      <c r="AH385">
        <v>0.02</v>
      </c>
      <c r="AI385">
        <v>4</v>
      </c>
    </row>
    <row r="386" spans="1:35">
      <c r="A386" t="s">
        <v>847</v>
      </c>
      <c r="B386" t="s">
        <v>848</v>
      </c>
      <c r="D386" t="s">
        <v>37</v>
      </c>
      <c r="F386">
        <v>1</v>
      </c>
      <c r="G386">
        <v>1</v>
      </c>
      <c r="H386" t="s">
        <v>38</v>
      </c>
      <c r="K386">
        <v>56</v>
      </c>
      <c r="L386" t="s">
        <v>39</v>
      </c>
      <c r="M386">
        <v>56</v>
      </c>
      <c r="N386" t="s">
        <v>849</v>
      </c>
      <c r="O386" s="2">
        <v>5600</v>
      </c>
      <c r="P386" t="s">
        <v>41</v>
      </c>
      <c r="Q386" t="s">
        <v>42</v>
      </c>
      <c r="R386" t="s">
        <v>43</v>
      </c>
      <c r="S386" t="s">
        <v>44</v>
      </c>
      <c r="T386" t="s">
        <v>44</v>
      </c>
      <c r="U386" t="s">
        <v>44</v>
      </c>
      <c r="V386" t="s">
        <v>45</v>
      </c>
      <c r="W386" t="s">
        <v>46</v>
      </c>
      <c r="X386" t="s">
        <v>297</v>
      </c>
      <c r="Z386">
        <v>60</v>
      </c>
      <c r="AA386" t="s">
        <v>44</v>
      </c>
      <c r="AB386">
        <v>0</v>
      </c>
      <c r="AD386">
        <v>2</v>
      </c>
      <c r="AE386">
        <v>53.4</v>
      </c>
      <c r="AF386">
        <v>27.5</v>
      </c>
      <c r="AG386">
        <v>35</v>
      </c>
      <c r="AH386">
        <v>0.05</v>
      </c>
      <c r="AI386" s="2">
        <v>3360</v>
      </c>
    </row>
    <row r="387" spans="1:35">
      <c r="A387" t="s">
        <v>850</v>
      </c>
      <c r="B387" t="s">
        <v>851</v>
      </c>
      <c r="D387" t="s">
        <v>37</v>
      </c>
      <c r="F387">
        <v>1</v>
      </c>
      <c r="G387">
        <v>1</v>
      </c>
      <c r="H387" t="s">
        <v>38</v>
      </c>
      <c r="I387">
        <v>12</v>
      </c>
      <c r="J387" t="str">
        <f>IF(OR(ISNUMBER(SEARCH("2Bks",B387)),ISNUMBER(SEARCH("5Bks",B387))),"RencengBNS",IF(ISNUMBER(SEARCH("1Box",B387)),"BoxBNS"," "))</f>
        <v>BoxBNS</v>
      </c>
      <c r="K387">
        <v>12</v>
      </c>
      <c r="L387" t="s">
        <v>39</v>
      </c>
      <c r="M387">
        <v>12</v>
      </c>
      <c r="N387" t="s">
        <v>476</v>
      </c>
      <c r="O387">
        <v>1</v>
      </c>
      <c r="P387" t="s">
        <v>41</v>
      </c>
      <c r="Q387" t="s">
        <v>42</v>
      </c>
      <c r="R387" t="s">
        <v>43</v>
      </c>
      <c r="S387" t="s">
        <v>44</v>
      </c>
      <c r="T387" t="s">
        <v>44</v>
      </c>
      <c r="U387" t="s">
        <v>44</v>
      </c>
      <c r="V387" t="s">
        <v>45</v>
      </c>
      <c r="W387" t="s">
        <v>46</v>
      </c>
      <c r="X387" t="s">
        <v>297</v>
      </c>
      <c r="Z387">
        <v>90</v>
      </c>
      <c r="AA387" t="s">
        <v>44</v>
      </c>
      <c r="AB387">
        <v>0</v>
      </c>
      <c r="AD387">
        <v>2</v>
      </c>
      <c r="AE387">
        <v>28</v>
      </c>
      <c r="AF387">
        <v>21.4</v>
      </c>
      <c r="AG387">
        <v>27.4</v>
      </c>
      <c r="AH387">
        <v>0.02</v>
      </c>
      <c r="AI387">
        <v>2.55</v>
      </c>
    </row>
    <row r="388" hidden="1" spans="1:35">
      <c r="A388" t="s">
        <v>852</v>
      </c>
      <c r="B388" t="s">
        <v>853</v>
      </c>
      <c r="D388" t="s">
        <v>37</v>
      </c>
      <c r="F388">
        <v>1</v>
      </c>
      <c r="G388">
        <v>1</v>
      </c>
      <c r="K388">
        <v>1</v>
      </c>
      <c r="L388" t="s">
        <v>58</v>
      </c>
      <c r="M388">
        <v>36</v>
      </c>
      <c r="N388" t="s">
        <v>59</v>
      </c>
      <c r="O388">
        <v>1</v>
      </c>
      <c r="P388" t="s">
        <v>41</v>
      </c>
      <c r="Q388" t="s">
        <v>42</v>
      </c>
      <c r="R388" t="s">
        <v>43</v>
      </c>
      <c r="S388" t="s">
        <v>44</v>
      </c>
      <c r="T388" t="s">
        <v>44</v>
      </c>
      <c r="U388" t="s">
        <v>44</v>
      </c>
      <c r="V388" t="s">
        <v>45</v>
      </c>
      <c r="W388" t="s">
        <v>55</v>
      </c>
      <c r="X388" t="s">
        <v>297</v>
      </c>
      <c r="Z388">
        <v>200</v>
      </c>
      <c r="AA388" t="s">
        <v>43</v>
      </c>
      <c r="AB388">
        <v>0</v>
      </c>
      <c r="AD388">
        <v>2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hidden="1" spans="1:35">
      <c r="A389" t="s">
        <v>854</v>
      </c>
      <c r="B389" t="s">
        <v>855</v>
      </c>
      <c r="D389" t="s">
        <v>37</v>
      </c>
      <c r="F389">
        <v>1</v>
      </c>
      <c r="G389">
        <v>1</v>
      </c>
      <c r="K389">
        <v>1</v>
      </c>
      <c r="L389" t="s">
        <v>53</v>
      </c>
      <c r="M389">
        <v>20</v>
      </c>
      <c r="N389" t="s">
        <v>64</v>
      </c>
      <c r="O389">
        <v>1</v>
      </c>
      <c r="P389" t="s">
        <v>41</v>
      </c>
      <c r="Q389" t="s">
        <v>42</v>
      </c>
      <c r="R389" t="s">
        <v>43</v>
      </c>
      <c r="S389" t="s">
        <v>44</v>
      </c>
      <c r="T389" t="s">
        <v>44</v>
      </c>
      <c r="U389" t="s">
        <v>44</v>
      </c>
      <c r="V389" t="s">
        <v>45</v>
      </c>
      <c r="W389" t="s">
        <v>55</v>
      </c>
      <c r="X389" t="s">
        <v>297</v>
      </c>
      <c r="Z389">
        <v>250</v>
      </c>
      <c r="AA389" t="s">
        <v>44</v>
      </c>
      <c r="AB389">
        <v>0</v>
      </c>
      <c r="AD389">
        <v>2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hidden="1" spans="1:35">
      <c r="A390" t="s">
        <v>856</v>
      </c>
      <c r="B390" t="s">
        <v>857</v>
      </c>
      <c r="D390" t="s">
        <v>37</v>
      </c>
      <c r="F390">
        <v>1</v>
      </c>
      <c r="G390">
        <v>1</v>
      </c>
      <c r="K390">
        <v>1</v>
      </c>
      <c r="L390" t="s">
        <v>53</v>
      </c>
      <c r="M390">
        <v>20</v>
      </c>
      <c r="N390" t="s">
        <v>64</v>
      </c>
      <c r="O390">
        <v>1</v>
      </c>
      <c r="P390" t="s">
        <v>41</v>
      </c>
      <c r="Q390" t="s">
        <v>42</v>
      </c>
      <c r="R390" t="s">
        <v>43</v>
      </c>
      <c r="S390" t="s">
        <v>44</v>
      </c>
      <c r="T390" t="s">
        <v>44</v>
      </c>
      <c r="U390" t="s">
        <v>44</v>
      </c>
      <c r="V390" t="s">
        <v>45</v>
      </c>
      <c r="W390" t="s">
        <v>55</v>
      </c>
      <c r="X390" t="s">
        <v>297</v>
      </c>
      <c r="Z390">
        <v>500</v>
      </c>
      <c r="AA390" t="s">
        <v>44</v>
      </c>
      <c r="AB390">
        <v>0</v>
      </c>
      <c r="AD390">
        <v>2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>
      <c r="A391" t="s">
        <v>858</v>
      </c>
      <c r="B391" t="s">
        <v>859</v>
      </c>
      <c r="D391" t="s">
        <v>37</v>
      </c>
      <c r="F391">
        <v>1</v>
      </c>
      <c r="G391">
        <v>1</v>
      </c>
      <c r="H391" t="s">
        <v>38</v>
      </c>
      <c r="K391">
        <v>24</v>
      </c>
      <c r="L391" t="s">
        <v>39</v>
      </c>
      <c r="M391">
        <v>24</v>
      </c>
      <c r="N391" t="s">
        <v>40</v>
      </c>
      <c r="O391" s="2">
        <v>2400</v>
      </c>
      <c r="P391" t="s">
        <v>41</v>
      </c>
      <c r="Q391" t="s">
        <v>42</v>
      </c>
      <c r="R391" t="s">
        <v>43</v>
      </c>
      <c r="S391" t="s">
        <v>44</v>
      </c>
      <c r="T391" t="s">
        <v>44</v>
      </c>
      <c r="U391" t="s">
        <v>44</v>
      </c>
      <c r="V391" t="s">
        <v>45</v>
      </c>
      <c r="W391" t="s">
        <v>46</v>
      </c>
      <c r="X391" t="s">
        <v>297</v>
      </c>
      <c r="Z391">
        <v>60</v>
      </c>
      <c r="AA391" t="s">
        <v>44</v>
      </c>
      <c r="AB391">
        <v>24</v>
      </c>
      <c r="AD391">
        <v>2</v>
      </c>
      <c r="AE391">
        <v>31.5</v>
      </c>
      <c r="AF391">
        <v>19.8</v>
      </c>
      <c r="AG391">
        <v>17.6</v>
      </c>
      <c r="AH391">
        <v>0.01</v>
      </c>
      <c r="AI391">
        <v>2.64</v>
      </c>
    </row>
    <row r="392" spans="1:35">
      <c r="A392" t="s">
        <v>860</v>
      </c>
      <c r="B392" t="s">
        <v>861</v>
      </c>
      <c r="D392" t="s">
        <v>37</v>
      </c>
      <c r="F392">
        <v>1</v>
      </c>
      <c r="G392">
        <v>1</v>
      </c>
      <c r="H392" t="s">
        <v>38</v>
      </c>
      <c r="I392">
        <v>12</v>
      </c>
      <c r="J392" t="str">
        <f>IF(OR(ISNUMBER(SEARCH("2Bks",B392)),ISNUMBER(SEARCH("5Bks",B392))),"RencengBNS",IF(ISNUMBER(SEARCH("1Box",B392)),"BoxBNS"," "))</f>
        <v>BoxBNS</v>
      </c>
      <c r="K392">
        <v>2</v>
      </c>
      <c r="L392" t="s">
        <v>39</v>
      </c>
      <c r="M392">
        <v>24</v>
      </c>
      <c r="N392" t="s">
        <v>40</v>
      </c>
      <c r="O392">
        <v>1</v>
      </c>
      <c r="P392" t="s">
        <v>41</v>
      </c>
      <c r="Q392" t="s">
        <v>42</v>
      </c>
      <c r="R392" t="s">
        <v>43</v>
      </c>
      <c r="S392" t="s">
        <v>44</v>
      </c>
      <c r="T392" t="s">
        <v>44</v>
      </c>
      <c r="U392" t="s">
        <v>44</v>
      </c>
      <c r="V392" t="s">
        <v>45</v>
      </c>
      <c r="W392" t="s">
        <v>46</v>
      </c>
      <c r="X392" t="s">
        <v>297</v>
      </c>
      <c r="Z392">
        <v>60</v>
      </c>
      <c r="AA392" t="s">
        <v>44</v>
      </c>
      <c r="AB392">
        <v>0</v>
      </c>
      <c r="AD392">
        <v>2</v>
      </c>
      <c r="AE392">
        <v>34.7</v>
      </c>
      <c r="AF392">
        <v>26.5</v>
      </c>
      <c r="AG392">
        <v>17.5</v>
      </c>
      <c r="AH392">
        <v>0.02</v>
      </c>
      <c r="AI392">
        <v>2.95</v>
      </c>
    </row>
    <row r="393" spans="1:35">
      <c r="A393" t="s">
        <v>862</v>
      </c>
      <c r="B393" t="s">
        <v>863</v>
      </c>
      <c r="D393" t="s">
        <v>37</v>
      </c>
      <c r="F393">
        <v>1</v>
      </c>
      <c r="G393">
        <v>1</v>
      </c>
      <c r="H393" t="s">
        <v>38</v>
      </c>
      <c r="K393">
        <v>6</v>
      </c>
      <c r="L393" t="s">
        <v>53</v>
      </c>
      <c r="M393">
        <v>6</v>
      </c>
      <c r="N393" t="s">
        <v>735</v>
      </c>
      <c r="O393">
        <v>600</v>
      </c>
      <c r="P393" t="s">
        <v>41</v>
      </c>
      <c r="Q393" t="s">
        <v>42</v>
      </c>
      <c r="R393" t="s">
        <v>43</v>
      </c>
      <c r="S393" t="s">
        <v>44</v>
      </c>
      <c r="T393" t="s">
        <v>44</v>
      </c>
      <c r="U393" t="s">
        <v>44</v>
      </c>
      <c r="V393" t="s">
        <v>45</v>
      </c>
      <c r="W393" t="s">
        <v>151</v>
      </c>
      <c r="X393" t="s">
        <v>461</v>
      </c>
      <c r="Z393">
        <v>300</v>
      </c>
      <c r="AA393" t="s">
        <v>44</v>
      </c>
      <c r="AB393">
        <v>0</v>
      </c>
      <c r="AD393">
        <v>2</v>
      </c>
      <c r="AE393">
        <v>39.2</v>
      </c>
      <c r="AF393">
        <v>25</v>
      </c>
      <c r="AG393">
        <v>27.7</v>
      </c>
      <c r="AH393">
        <v>0.03</v>
      </c>
      <c r="AI393" s="2">
        <v>1800</v>
      </c>
    </row>
    <row r="394" spans="1:35">
      <c r="A394" t="s">
        <v>864</v>
      </c>
      <c r="B394" t="s">
        <v>865</v>
      </c>
      <c r="D394" t="s">
        <v>37</v>
      </c>
      <c r="F394">
        <v>1</v>
      </c>
      <c r="G394">
        <v>1</v>
      </c>
      <c r="H394" t="s">
        <v>38</v>
      </c>
      <c r="K394">
        <v>20</v>
      </c>
      <c r="L394" t="s">
        <v>39</v>
      </c>
      <c r="M394">
        <v>20</v>
      </c>
      <c r="N394" t="s">
        <v>50</v>
      </c>
      <c r="O394" s="2">
        <v>2000</v>
      </c>
      <c r="P394" t="s">
        <v>41</v>
      </c>
      <c r="Q394" t="s">
        <v>42</v>
      </c>
      <c r="R394" t="s">
        <v>43</v>
      </c>
      <c r="S394" t="s">
        <v>44</v>
      </c>
      <c r="T394" t="s">
        <v>44</v>
      </c>
      <c r="U394" t="s">
        <v>44</v>
      </c>
      <c r="V394" t="s">
        <v>45</v>
      </c>
      <c r="W394" t="s">
        <v>46</v>
      </c>
      <c r="X394" t="s">
        <v>297</v>
      </c>
      <c r="Z394">
        <v>50</v>
      </c>
      <c r="AA394" t="s">
        <v>44</v>
      </c>
      <c r="AB394">
        <v>20</v>
      </c>
      <c r="AD394">
        <v>2</v>
      </c>
      <c r="AE394">
        <v>28</v>
      </c>
      <c r="AF394">
        <v>21.4</v>
      </c>
      <c r="AG394">
        <v>27.4</v>
      </c>
      <c r="AH394">
        <v>0.02</v>
      </c>
      <c r="AI394">
        <v>2.09</v>
      </c>
    </row>
    <row r="395" hidden="1" spans="1:35">
      <c r="A395" t="s">
        <v>866</v>
      </c>
      <c r="B395" t="s">
        <v>867</v>
      </c>
      <c r="D395" t="s">
        <v>37</v>
      </c>
      <c r="F395">
        <v>1</v>
      </c>
      <c r="G395">
        <v>1</v>
      </c>
      <c r="K395">
        <v>1</v>
      </c>
      <c r="L395" t="s">
        <v>39</v>
      </c>
      <c r="M395">
        <v>36</v>
      </c>
      <c r="N395" t="s">
        <v>186</v>
      </c>
      <c r="O395" s="2">
        <v>3600</v>
      </c>
      <c r="P395" t="s">
        <v>41</v>
      </c>
      <c r="Q395" t="s">
        <v>42</v>
      </c>
      <c r="R395" t="s">
        <v>43</v>
      </c>
      <c r="S395" t="s">
        <v>44</v>
      </c>
      <c r="T395" t="s">
        <v>44</v>
      </c>
      <c r="U395" t="s">
        <v>44</v>
      </c>
      <c r="V395" t="s">
        <v>45</v>
      </c>
      <c r="W395" t="s">
        <v>46</v>
      </c>
      <c r="X395" t="s">
        <v>297</v>
      </c>
      <c r="Z395">
        <v>200</v>
      </c>
      <c r="AA395" t="s">
        <v>44</v>
      </c>
      <c r="AB395">
        <v>0</v>
      </c>
      <c r="AD395">
        <v>2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hidden="1" spans="1:35">
      <c r="A396" t="s">
        <v>868</v>
      </c>
      <c r="B396" t="s">
        <v>869</v>
      </c>
      <c r="D396" t="s">
        <v>37</v>
      </c>
      <c r="F396">
        <v>1</v>
      </c>
      <c r="G396">
        <v>1</v>
      </c>
      <c r="K396">
        <v>1</v>
      </c>
      <c r="L396" t="s">
        <v>58</v>
      </c>
      <c r="M396">
        <v>36</v>
      </c>
      <c r="N396" t="s">
        <v>59</v>
      </c>
      <c r="O396">
        <v>1</v>
      </c>
      <c r="P396" t="s">
        <v>41</v>
      </c>
      <c r="Q396" t="s">
        <v>42</v>
      </c>
      <c r="R396" t="s">
        <v>43</v>
      </c>
      <c r="S396" t="s">
        <v>44</v>
      </c>
      <c r="T396" t="s">
        <v>44</v>
      </c>
      <c r="U396" t="s">
        <v>44</v>
      </c>
      <c r="V396" t="s">
        <v>45</v>
      </c>
      <c r="W396" t="s">
        <v>55</v>
      </c>
      <c r="X396" t="s">
        <v>297</v>
      </c>
      <c r="Z396">
        <v>200</v>
      </c>
      <c r="AA396" t="s">
        <v>43</v>
      </c>
      <c r="AB396">
        <v>0</v>
      </c>
      <c r="AD396">
        <v>2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hidden="1" spans="1:35">
      <c r="A397" t="s">
        <v>870</v>
      </c>
      <c r="B397" t="s">
        <v>871</v>
      </c>
      <c r="D397" t="s">
        <v>37</v>
      </c>
      <c r="F397">
        <v>1</v>
      </c>
      <c r="G397">
        <v>1</v>
      </c>
      <c r="K397">
        <v>1</v>
      </c>
      <c r="L397" t="s">
        <v>53</v>
      </c>
      <c r="M397">
        <v>20</v>
      </c>
      <c r="N397" t="s">
        <v>64</v>
      </c>
      <c r="O397">
        <v>1</v>
      </c>
      <c r="P397" t="s">
        <v>41</v>
      </c>
      <c r="Q397" t="s">
        <v>42</v>
      </c>
      <c r="R397" t="s">
        <v>43</v>
      </c>
      <c r="S397" t="s">
        <v>44</v>
      </c>
      <c r="T397" t="s">
        <v>44</v>
      </c>
      <c r="U397" t="s">
        <v>44</v>
      </c>
      <c r="V397" t="s">
        <v>45</v>
      </c>
      <c r="W397" t="s">
        <v>55</v>
      </c>
      <c r="X397" t="s">
        <v>297</v>
      </c>
      <c r="Z397">
        <v>250</v>
      </c>
      <c r="AA397" t="s">
        <v>44</v>
      </c>
      <c r="AB397">
        <v>0</v>
      </c>
      <c r="AD397">
        <v>2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hidden="1" spans="1:35">
      <c r="A398" t="s">
        <v>872</v>
      </c>
      <c r="B398" t="s">
        <v>873</v>
      </c>
      <c r="D398" t="s">
        <v>37</v>
      </c>
      <c r="F398">
        <v>1</v>
      </c>
      <c r="G398">
        <v>1</v>
      </c>
      <c r="K398">
        <v>1</v>
      </c>
      <c r="L398" t="s">
        <v>53</v>
      </c>
      <c r="M398">
        <v>10</v>
      </c>
      <c r="N398" t="s">
        <v>54</v>
      </c>
      <c r="O398">
        <v>10</v>
      </c>
      <c r="P398" t="s">
        <v>41</v>
      </c>
      <c r="Q398" t="s">
        <v>42</v>
      </c>
      <c r="R398" t="s">
        <v>43</v>
      </c>
      <c r="S398" t="s">
        <v>44</v>
      </c>
      <c r="T398" t="s">
        <v>44</v>
      </c>
      <c r="U398" t="s">
        <v>44</v>
      </c>
      <c r="V398" t="s">
        <v>45</v>
      </c>
      <c r="W398" t="s">
        <v>55</v>
      </c>
      <c r="X398" t="s">
        <v>297</v>
      </c>
      <c r="Z398" s="2">
        <v>1000</v>
      </c>
      <c r="AA398" t="s">
        <v>43</v>
      </c>
      <c r="AB398">
        <v>0</v>
      </c>
      <c r="AD398">
        <v>2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>
      <c r="A399" t="s">
        <v>874</v>
      </c>
      <c r="B399" t="s">
        <v>873</v>
      </c>
      <c r="D399" t="s">
        <v>37</v>
      </c>
      <c r="F399">
        <v>1</v>
      </c>
      <c r="G399">
        <v>1</v>
      </c>
      <c r="H399" t="s">
        <v>38</v>
      </c>
      <c r="K399">
        <v>15</v>
      </c>
      <c r="L399" t="s">
        <v>53</v>
      </c>
      <c r="M399">
        <v>15</v>
      </c>
      <c r="N399" t="s">
        <v>498</v>
      </c>
      <c r="O399">
        <v>15</v>
      </c>
      <c r="P399" t="s">
        <v>41</v>
      </c>
      <c r="Q399" t="s">
        <v>42</v>
      </c>
      <c r="R399" t="s">
        <v>43</v>
      </c>
      <c r="S399" t="s">
        <v>44</v>
      </c>
      <c r="T399" t="s">
        <v>44</v>
      </c>
      <c r="U399" t="s">
        <v>44</v>
      </c>
      <c r="V399" t="s">
        <v>45</v>
      </c>
      <c r="W399" t="s">
        <v>55</v>
      </c>
      <c r="X399" t="s">
        <v>297</v>
      </c>
      <c r="Z399" s="2">
        <v>1000</v>
      </c>
      <c r="AA399" t="s">
        <v>44</v>
      </c>
      <c r="AB399">
        <v>1</v>
      </c>
      <c r="AD399">
        <v>2</v>
      </c>
      <c r="AE399">
        <v>53.4</v>
      </c>
      <c r="AF399">
        <v>27.5</v>
      </c>
      <c r="AG399">
        <v>35</v>
      </c>
      <c r="AH399">
        <v>0.05</v>
      </c>
      <c r="AI399">
        <v>16.28</v>
      </c>
    </row>
    <row r="400" hidden="1" spans="1:35">
      <c r="A400" t="s">
        <v>875</v>
      </c>
      <c r="B400" t="s">
        <v>876</v>
      </c>
      <c r="D400" t="s">
        <v>37</v>
      </c>
      <c r="F400">
        <v>1</v>
      </c>
      <c r="G400">
        <v>1</v>
      </c>
      <c r="K400">
        <v>1</v>
      </c>
      <c r="L400" t="s">
        <v>58</v>
      </c>
      <c r="M400">
        <v>36</v>
      </c>
      <c r="N400" t="s">
        <v>59</v>
      </c>
      <c r="O400" s="2">
        <v>3600</v>
      </c>
      <c r="P400" t="s">
        <v>41</v>
      </c>
      <c r="Q400" t="s">
        <v>42</v>
      </c>
      <c r="R400" t="s">
        <v>43</v>
      </c>
      <c r="S400" t="s">
        <v>44</v>
      </c>
      <c r="T400" t="s">
        <v>44</v>
      </c>
      <c r="U400" t="s">
        <v>44</v>
      </c>
      <c r="V400" t="s">
        <v>45</v>
      </c>
      <c r="W400" t="s">
        <v>55</v>
      </c>
      <c r="X400" t="s">
        <v>297</v>
      </c>
      <c r="Z400">
        <v>200</v>
      </c>
      <c r="AA400" t="s">
        <v>43</v>
      </c>
      <c r="AB400">
        <v>0</v>
      </c>
      <c r="AD400">
        <v>2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>
      <c r="A401" t="s">
        <v>877</v>
      </c>
      <c r="B401" t="s">
        <v>876</v>
      </c>
      <c r="D401" t="s">
        <v>37</v>
      </c>
      <c r="F401">
        <v>1</v>
      </c>
      <c r="G401">
        <v>1</v>
      </c>
      <c r="H401" t="s">
        <v>38</v>
      </c>
      <c r="K401">
        <v>12</v>
      </c>
      <c r="L401" t="s">
        <v>58</v>
      </c>
      <c r="M401">
        <v>12</v>
      </c>
      <c r="N401" t="s">
        <v>61</v>
      </c>
      <c r="O401" s="2">
        <v>1200</v>
      </c>
      <c r="P401" t="s">
        <v>41</v>
      </c>
      <c r="Q401" t="s">
        <v>42</v>
      </c>
      <c r="R401" t="s">
        <v>43</v>
      </c>
      <c r="S401" t="s">
        <v>44</v>
      </c>
      <c r="T401" t="s">
        <v>44</v>
      </c>
      <c r="U401" t="s">
        <v>44</v>
      </c>
      <c r="V401" t="s">
        <v>45</v>
      </c>
      <c r="W401" t="s">
        <v>55</v>
      </c>
      <c r="X401" t="s">
        <v>297</v>
      </c>
      <c r="Z401">
        <v>200</v>
      </c>
      <c r="AA401" t="s">
        <v>44</v>
      </c>
      <c r="AB401">
        <v>12</v>
      </c>
      <c r="AD401">
        <v>2</v>
      </c>
      <c r="AE401">
        <v>34.7</v>
      </c>
      <c r="AF401">
        <v>26.5</v>
      </c>
      <c r="AG401">
        <v>17.5</v>
      </c>
      <c r="AH401">
        <v>0.02</v>
      </c>
      <c r="AI401">
        <v>4</v>
      </c>
    </row>
    <row r="402" hidden="1" spans="1:35">
      <c r="A402" t="s">
        <v>878</v>
      </c>
      <c r="B402" t="s">
        <v>879</v>
      </c>
      <c r="D402" t="s">
        <v>37</v>
      </c>
      <c r="F402">
        <v>1</v>
      </c>
      <c r="G402">
        <v>1</v>
      </c>
      <c r="K402">
        <v>1</v>
      </c>
      <c r="L402" t="s">
        <v>53</v>
      </c>
      <c r="M402">
        <v>20</v>
      </c>
      <c r="N402" t="s">
        <v>64</v>
      </c>
      <c r="O402">
        <v>20</v>
      </c>
      <c r="P402" t="s">
        <v>41</v>
      </c>
      <c r="Q402" t="s">
        <v>42</v>
      </c>
      <c r="R402" t="s">
        <v>43</v>
      </c>
      <c r="S402" t="s">
        <v>44</v>
      </c>
      <c r="T402" t="s">
        <v>44</v>
      </c>
      <c r="U402" t="s">
        <v>44</v>
      </c>
      <c r="V402" t="s">
        <v>45</v>
      </c>
      <c r="W402" t="s">
        <v>55</v>
      </c>
      <c r="X402" t="s">
        <v>297</v>
      </c>
      <c r="Z402">
        <v>250</v>
      </c>
      <c r="AA402" t="s">
        <v>44</v>
      </c>
      <c r="AB402">
        <v>0</v>
      </c>
      <c r="AD402">
        <v>2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hidden="1" spans="1:35">
      <c r="A403" t="s">
        <v>880</v>
      </c>
      <c r="B403" t="s">
        <v>881</v>
      </c>
      <c r="D403" t="s">
        <v>37</v>
      </c>
      <c r="F403">
        <v>1</v>
      </c>
      <c r="G403">
        <v>1</v>
      </c>
      <c r="K403">
        <v>1</v>
      </c>
      <c r="L403" t="s">
        <v>53</v>
      </c>
      <c r="M403">
        <v>20</v>
      </c>
      <c r="N403" t="s">
        <v>64</v>
      </c>
      <c r="O403">
        <v>20</v>
      </c>
      <c r="P403" t="s">
        <v>41</v>
      </c>
      <c r="Q403" t="s">
        <v>42</v>
      </c>
      <c r="R403" t="s">
        <v>43</v>
      </c>
      <c r="S403" t="s">
        <v>44</v>
      </c>
      <c r="T403" t="s">
        <v>44</v>
      </c>
      <c r="U403" t="s">
        <v>44</v>
      </c>
      <c r="V403" t="s">
        <v>45</v>
      </c>
      <c r="W403" t="s">
        <v>55</v>
      </c>
      <c r="X403" t="s">
        <v>297</v>
      </c>
      <c r="Z403">
        <v>500</v>
      </c>
      <c r="AA403" t="s">
        <v>43</v>
      </c>
      <c r="AB403">
        <v>0</v>
      </c>
      <c r="AD403">
        <v>2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>
      <c r="A404" t="s">
        <v>882</v>
      </c>
      <c r="B404" t="s">
        <v>881</v>
      </c>
      <c r="D404" t="s">
        <v>37</v>
      </c>
      <c r="F404">
        <v>1</v>
      </c>
      <c r="G404">
        <v>1</v>
      </c>
      <c r="H404" t="s">
        <v>38</v>
      </c>
      <c r="K404">
        <v>26</v>
      </c>
      <c r="L404" t="s">
        <v>53</v>
      </c>
      <c r="M404">
        <v>26</v>
      </c>
      <c r="N404" t="s">
        <v>505</v>
      </c>
      <c r="O404">
        <v>26</v>
      </c>
      <c r="P404" t="s">
        <v>41</v>
      </c>
      <c r="Q404" t="s">
        <v>42</v>
      </c>
      <c r="R404" t="s">
        <v>43</v>
      </c>
      <c r="S404" t="s">
        <v>44</v>
      </c>
      <c r="T404" t="s">
        <v>44</v>
      </c>
      <c r="U404" t="s">
        <v>44</v>
      </c>
      <c r="V404" t="s">
        <v>45</v>
      </c>
      <c r="W404" t="s">
        <v>55</v>
      </c>
      <c r="X404" t="s">
        <v>297</v>
      </c>
      <c r="Z404">
        <v>500</v>
      </c>
      <c r="AA404" t="s">
        <v>44</v>
      </c>
      <c r="AB404">
        <v>0</v>
      </c>
      <c r="AD404">
        <v>2</v>
      </c>
      <c r="AE404">
        <v>53.4</v>
      </c>
      <c r="AF404">
        <v>27.5</v>
      </c>
      <c r="AG404">
        <v>35</v>
      </c>
      <c r="AH404">
        <v>0.05</v>
      </c>
      <c r="AI404">
        <v>14.36</v>
      </c>
    </row>
    <row r="405" spans="1:35">
      <c r="A405" t="s">
        <v>883</v>
      </c>
      <c r="B405" t="s">
        <v>884</v>
      </c>
      <c r="D405" t="s">
        <v>37</v>
      </c>
      <c r="F405">
        <v>1</v>
      </c>
      <c r="G405">
        <v>1</v>
      </c>
      <c r="H405" t="s">
        <v>38</v>
      </c>
      <c r="K405">
        <v>24</v>
      </c>
      <c r="L405" t="s">
        <v>39</v>
      </c>
      <c r="M405">
        <v>24</v>
      </c>
      <c r="N405" t="s">
        <v>40</v>
      </c>
      <c r="O405" s="2">
        <v>2400</v>
      </c>
      <c r="P405" t="s">
        <v>41</v>
      </c>
      <c r="Q405" t="s">
        <v>42</v>
      </c>
      <c r="R405" t="s">
        <v>43</v>
      </c>
      <c r="S405" t="s">
        <v>44</v>
      </c>
      <c r="T405" t="s">
        <v>44</v>
      </c>
      <c r="U405" t="s">
        <v>44</v>
      </c>
      <c r="V405" t="s">
        <v>45</v>
      </c>
      <c r="W405" t="s">
        <v>46</v>
      </c>
      <c r="X405" t="s">
        <v>297</v>
      </c>
      <c r="Z405">
        <v>60</v>
      </c>
      <c r="AA405" t="s">
        <v>44</v>
      </c>
      <c r="AB405">
        <v>24</v>
      </c>
      <c r="AD405">
        <v>2</v>
      </c>
      <c r="AE405">
        <v>31.5</v>
      </c>
      <c r="AF405">
        <v>19.8</v>
      </c>
      <c r="AG405">
        <v>17.6</v>
      </c>
      <c r="AH405">
        <v>0.01</v>
      </c>
      <c r="AI405">
        <v>2.64</v>
      </c>
    </row>
    <row r="406" spans="1:35">
      <c r="A406" t="s">
        <v>885</v>
      </c>
      <c r="B406" t="s">
        <v>886</v>
      </c>
      <c r="D406" t="s">
        <v>37</v>
      </c>
      <c r="F406">
        <v>1</v>
      </c>
      <c r="G406">
        <v>1</v>
      </c>
      <c r="H406" t="s">
        <v>38</v>
      </c>
      <c r="I406">
        <v>12</v>
      </c>
      <c r="J406" t="str">
        <f>IF(OR(ISNUMBER(SEARCH("2Bks",B406)),ISNUMBER(SEARCH("5Bks",B406))),"RencengBNS",IF(ISNUMBER(SEARCH("1Box",B406)),"BoxBNS"," "))</f>
        <v>BoxBNS</v>
      </c>
      <c r="K406">
        <v>2</v>
      </c>
      <c r="L406" t="s">
        <v>39</v>
      </c>
      <c r="M406">
        <v>24</v>
      </c>
      <c r="N406" t="s">
        <v>40</v>
      </c>
      <c r="O406">
        <v>1</v>
      </c>
      <c r="P406" t="s">
        <v>41</v>
      </c>
      <c r="Q406" t="s">
        <v>42</v>
      </c>
      <c r="R406" t="s">
        <v>43</v>
      </c>
      <c r="S406" t="s">
        <v>44</v>
      </c>
      <c r="T406" t="s">
        <v>44</v>
      </c>
      <c r="U406" t="s">
        <v>44</v>
      </c>
      <c r="V406" t="s">
        <v>45</v>
      </c>
      <c r="W406" t="s">
        <v>46</v>
      </c>
      <c r="X406" t="s">
        <v>297</v>
      </c>
      <c r="Z406">
        <v>60</v>
      </c>
      <c r="AA406" t="s">
        <v>44</v>
      </c>
      <c r="AB406">
        <v>0</v>
      </c>
      <c r="AD406">
        <v>2</v>
      </c>
      <c r="AE406">
        <v>34.7</v>
      </c>
      <c r="AF406">
        <v>26.5</v>
      </c>
      <c r="AG406">
        <v>17.5</v>
      </c>
      <c r="AH406">
        <v>0.02</v>
      </c>
      <c r="AI406">
        <v>2.95</v>
      </c>
    </row>
    <row r="407" spans="1:35">
      <c r="A407" t="s">
        <v>887</v>
      </c>
      <c r="B407" t="s">
        <v>888</v>
      </c>
      <c r="D407" t="s">
        <v>37</v>
      </c>
      <c r="F407">
        <v>1</v>
      </c>
      <c r="G407">
        <v>1</v>
      </c>
      <c r="H407" t="s">
        <v>38</v>
      </c>
      <c r="K407">
        <v>6</v>
      </c>
      <c r="L407" t="s">
        <v>53</v>
      </c>
      <c r="M407">
        <v>6</v>
      </c>
      <c r="N407" t="s">
        <v>735</v>
      </c>
      <c r="O407">
        <v>600</v>
      </c>
      <c r="P407" t="s">
        <v>41</v>
      </c>
      <c r="Q407" t="s">
        <v>42</v>
      </c>
      <c r="R407" t="s">
        <v>43</v>
      </c>
      <c r="S407" t="s">
        <v>44</v>
      </c>
      <c r="T407" t="s">
        <v>44</v>
      </c>
      <c r="U407" t="s">
        <v>44</v>
      </c>
      <c r="V407" t="s">
        <v>45</v>
      </c>
      <c r="W407" t="s">
        <v>151</v>
      </c>
      <c r="X407" t="s">
        <v>461</v>
      </c>
      <c r="Z407">
        <v>300</v>
      </c>
      <c r="AA407" t="s">
        <v>44</v>
      </c>
      <c r="AB407">
        <v>0</v>
      </c>
      <c r="AD407">
        <v>2</v>
      </c>
      <c r="AE407">
        <v>39.2</v>
      </c>
      <c r="AF407">
        <v>25</v>
      </c>
      <c r="AG407">
        <v>27.7</v>
      </c>
      <c r="AH407">
        <v>0.03</v>
      </c>
      <c r="AI407" s="2">
        <v>1800</v>
      </c>
    </row>
    <row r="408" spans="1:35">
      <c r="A408" t="s">
        <v>889</v>
      </c>
      <c r="B408" t="s">
        <v>890</v>
      </c>
      <c r="D408" t="s">
        <v>37</v>
      </c>
      <c r="F408">
        <v>1</v>
      </c>
      <c r="G408">
        <v>1</v>
      </c>
      <c r="H408" t="s">
        <v>38</v>
      </c>
      <c r="K408">
        <v>20</v>
      </c>
      <c r="L408" t="s">
        <v>39</v>
      </c>
      <c r="M408">
        <v>20</v>
      </c>
      <c r="N408" t="s">
        <v>50</v>
      </c>
      <c r="O408" s="2">
        <v>2000</v>
      </c>
      <c r="P408" t="s">
        <v>41</v>
      </c>
      <c r="Q408" t="s">
        <v>42</v>
      </c>
      <c r="R408" t="s">
        <v>43</v>
      </c>
      <c r="S408" t="s">
        <v>44</v>
      </c>
      <c r="T408" t="s">
        <v>44</v>
      </c>
      <c r="U408" t="s">
        <v>44</v>
      </c>
      <c r="V408" t="s">
        <v>45</v>
      </c>
      <c r="W408" t="s">
        <v>46</v>
      </c>
      <c r="X408" t="s">
        <v>297</v>
      </c>
      <c r="Z408">
        <v>50</v>
      </c>
      <c r="AA408" t="s">
        <v>44</v>
      </c>
      <c r="AB408">
        <v>29</v>
      </c>
      <c r="AD408">
        <v>2</v>
      </c>
      <c r="AE408">
        <v>28</v>
      </c>
      <c r="AF408">
        <v>21.4</v>
      </c>
      <c r="AG408">
        <v>27.4</v>
      </c>
      <c r="AH408">
        <v>0.02</v>
      </c>
      <c r="AI408">
        <v>2.09</v>
      </c>
    </row>
    <row r="409" hidden="1" spans="1:35">
      <c r="A409" t="s">
        <v>891</v>
      </c>
      <c r="B409" t="s">
        <v>892</v>
      </c>
      <c r="D409" t="s">
        <v>37</v>
      </c>
      <c r="F409">
        <v>1</v>
      </c>
      <c r="G409">
        <v>1</v>
      </c>
      <c r="K409">
        <v>1</v>
      </c>
      <c r="L409" t="s">
        <v>39</v>
      </c>
      <c r="M409">
        <v>36</v>
      </c>
      <c r="N409" t="s">
        <v>186</v>
      </c>
      <c r="O409" s="2">
        <v>3600</v>
      </c>
      <c r="P409" t="s">
        <v>41</v>
      </c>
      <c r="Q409" t="s">
        <v>42</v>
      </c>
      <c r="R409" t="s">
        <v>43</v>
      </c>
      <c r="S409" t="s">
        <v>44</v>
      </c>
      <c r="T409" t="s">
        <v>44</v>
      </c>
      <c r="U409" t="s">
        <v>44</v>
      </c>
      <c r="V409" t="s">
        <v>45</v>
      </c>
      <c r="W409" t="s">
        <v>46</v>
      </c>
      <c r="X409" t="s">
        <v>297</v>
      </c>
      <c r="Z409">
        <v>200</v>
      </c>
      <c r="AA409" t="s">
        <v>44</v>
      </c>
      <c r="AB409">
        <v>0</v>
      </c>
      <c r="AD409">
        <v>2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hidden="1" spans="1:35">
      <c r="A410" t="s">
        <v>893</v>
      </c>
      <c r="B410" t="s">
        <v>894</v>
      </c>
      <c r="D410" t="s">
        <v>37</v>
      </c>
      <c r="F410">
        <v>1</v>
      </c>
      <c r="G410">
        <v>1</v>
      </c>
      <c r="K410">
        <v>1</v>
      </c>
      <c r="L410" t="s">
        <v>58</v>
      </c>
      <c r="M410">
        <v>36</v>
      </c>
      <c r="N410" t="s">
        <v>59</v>
      </c>
      <c r="O410">
        <v>1</v>
      </c>
      <c r="P410" t="s">
        <v>41</v>
      </c>
      <c r="Q410" t="s">
        <v>42</v>
      </c>
      <c r="R410" t="s">
        <v>43</v>
      </c>
      <c r="S410" t="s">
        <v>44</v>
      </c>
      <c r="T410" t="s">
        <v>44</v>
      </c>
      <c r="U410" t="s">
        <v>44</v>
      </c>
      <c r="V410" t="s">
        <v>45</v>
      </c>
      <c r="W410" t="s">
        <v>55</v>
      </c>
      <c r="X410" t="s">
        <v>297</v>
      </c>
      <c r="Z410">
        <v>200</v>
      </c>
      <c r="AA410" t="s">
        <v>43</v>
      </c>
      <c r="AB410">
        <v>0</v>
      </c>
      <c r="AD410">
        <v>2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hidden="1" spans="1:35">
      <c r="A411" t="s">
        <v>895</v>
      </c>
      <c r="B411" t="s">
        <v>896</v>
      </c>
      <c r="D411" t="s">
        <v>37</v>
      </c>
      <c r="F411">
        <v>1</v>
      </c>
      <c r="G411">
        <v>1</v>
      </c>
      <c r="K411">
        <v>1</v>
      </c>
      <c r="L411" t="s">
        <v>53</v>
      </c>
      <c r="M411">
        <v>20</v>
      </c>
      <c r="N411" t="s">
        <v>64</v>
      </c>
      <c r="O411">
        <v>1</v>
      </c>
      <c r="P411" t="s">
        <v>41</v>
      </c>
      <c r="Q411" t="s">
        <v>42</v>
      </c>
      <c r="R411" t="s">
        <v>43</v>
      </c>
      <c r="S411" t="s">
        <v>44</v>
      </c>
      <c r="T411" t="s">
        <v>44</v>
      </c>
      <c r="U411" t="s">
        <v>44</v>
      </c>
      <c r="V411" t="s">
        <v>45</v>
      </c>
      <c r="W411" t="s">
        <v>55</v>
      </c>
      <c r="X411" t="s">
        <v>297</v>
      </c>
      <c r="Z411">
        <v>250</v>
      </c>
      <c r="AA411" t="s">
        <v>44</v>
      </c>
      <c r="AB411">
        <v>0</v>
      </c>
      <c r="AD411">
        <v>2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hidden="1" spans="1:35">
      <c r="A412" t="s">
        <v>897</v>
      </c>
      <c r="B412" t="s">
        <v>898</v>
      </c>
      <c r="D412" t="s">
        <v>37</v>
      </c>
      <c r="F412">
        <v>1</v>
      </c>
      <c r="G412">
        <v>1</v>
      </c>
      <c r="K412">
        <v>1</v>
      </c>
      <c r="L412" t="s">
        <v>53</v>
      </c>
      <c r="M412">
        <v>10</v>
      </c>
      <c r="N412" t="s">
        <v>54</v>
      </c>
      <c r="O412">
        <v>10</v>
      </c>
      <c r="P412" t="s">
        <v>41</v>
      </c>
      <c r="Q412" t="s">
        <v>42</v>
      </c>
      <c r="R412" t="s">
        <v>43</v>
      </c>
      <c r="S412" t="s">
        <v>44</v>
      </c>
      <c r="T412" t="s">
        <v>44</v>
      </c>
      <c r="U412" t="s">
        <v>44</v>
      </c>
      <c r="V412" t="s">
        <v>45</v>
      </c>
      <c r="W412" t="s">
        <v>55</v>
      </c>
      <c r="X412" t="s">
        <v>297</v>
      </c>
      <c r="Z412" s="2">
        <v>1000</v>
      </c>
      <c r="AA412" t="s">
        <v>43</v>
      </c>
      <c r="AB412">
        <v>0</v>
      </c>
      <c r="AD412">
        <v>2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>
      <c r="A413" t="s">
        <v>899</v>
      </c>
      <c r="B413" t="s">
        <v>898</v>
      </c>
      <c r="D413" t="s">
        <v>37</v>
      </c>
      <c r="F413">
        <v>1</v>
      </c>
      <c r="G413">
        <v>1</v>
      </c>
      <c r="H413" t="s">
        <v>38</v>
      </c>
      <c r="K413">
        <v>15</v>
      </c>
      <c r="L413" t="s">
        <v>53</v>
      </c>
      <c r="M413">
        <v>15</v>
      </c>
      <c r="N413" t="s">
        <v>498</v>
      </c>
      <c r="O413">
        <v>15</v>
      </c>
      <c r="P413" t="s">
        <v>41</v>
      </c>
      <c r="Q413" t="s">
        <v>42</v>
      </c>
      <c r="R413" t="s">
        <v>43</v>
      </c>
      <c r="S413" t="s">
        <v>44</v>
      </c>
      <c r="T413" t="s">
        <v>44</v>
      </c>
      <c r="U413" t="s">
        <v>44</v>
      </c>
      <c r="V413" t="s">
        <v>45</v>
      </c>
      <c r="W413" t="s">
        <v>55</v>
      </c>
      <c r="X413" t="s">
        <v>297</v>
      </c>
      <c r="Z413" s="2">
        <v>1000</v>
      </c>
      <c r="AA413" t="s">
        <v>44</v>
      </c>
      <c r="AB413">
        <v>2</v>
      </c>
      <c r="AD413">
        <v>2</v>
      </c>
      <c r="AE413">
        <v>53.4</v>
      </c>
      <c r="AF413">
        <v>27.5</v>
      </c>
      <c r="AG413">
        <v>35</v>
      </c>
      <c r="AH413">
        <v>0.05</v>
      </c>
      <c r="AI413">
        <v>16.28</v>
      </c>
    </row>
    <row r="414" hidden="1" spans="1:35">
      <c r="A414" t="s">
        <v>900</v>
      </c>
      <c r="B414" t="s">
        <v>901</v>
      </c>
      <c r="D414" t="s">
        <v>37</v>
      </c>
      <c r="F414">
        <v>1</v>
      </c>
      <c r="G414">
        <v>1</v>
      </c>
      <c r="K414">
        <v>1</v>
      </c>
      <c r="L414" t="s">
        <v>58</v>
      </c>
      <c r="M414">
        <v>36</v>
      </c>
      <c r="N414" t="s">
        <v>59</v>
      </c>
      <c r="O414" s="2">
        <v>3600</v>
      </c>
      <c r="P414" t="s">
        <v>41</v>
      </c>
      <c r="Q414" t="s">
        <v>42</v>
      </c>
      <c r="R414" t="s">
        <v>43</v>
      </c>
      <c r="S414" t="s">
        <v>44</v>
      </c>
      <c r="T414" t="s">
        <v>44</v>
      </c>
      <c r="U414" t="s">
        <v>44</v>
      </c>
      <c r="V414" t="s">
        <v>45</v>
      </c>
      <c r="W414" t="s">
        <v>55</v>
      </c>
      <c r="X414" t="s">
        <v>297</v>
      </c>
      <c r="Z414">
        <v>200</v>
      </c>
      <c r="AA414" t="s">
        <v>43</v>
      </c>
      <c r="AB414">
        <v>0</v>
      </c>
      <c r="AD414">
        <v>2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>
      <c r="A415" t="s">
        <v>902</v>
      </c>
      <c r="B415" t="s">
        <v>901</v>
      </c>
      <c r="D415" t="s">
        <v>37</v>
      </c>
      <c r="F415">
        <v>1</v>
      </c>
      <c r="G415">
        <v>1</v>
      </c>
      <c r="H415" t="s">
        <v>38</v>
      </c>
      <c r="K415">
        <v>12</v>
      </c>
      <c r="L415" t="s">
        <v>58</v>
      </c>
      <c r="M415">
        <v>12</v>
      </c>
      <c r="N415" t="s">
        <v>61</v>
      </c>
      <c r="O415" s="2">
        <v>1200</v>
      </c>
      <c r="P415" t="s">
        <v>41</v>
      </c>
      <c r="Q415" t="s">
        <v>42</v>
      </c>
      <c r="R415" t="s">
        <v>43</v>
      </c>
      <c r="S415" t="s">
        <v>44</v>
      </c>
      <c r="T415" t="s">
        <v>44</v>
      </c>
      <c r="U415" t="s">
        <v>44</v>
      </c>
      <c r="V415" t="s">
        <v>45</v>
      </c>
      <c r="W415" t="s">
        <v>55</v>
      </c>
      <c r="X415" t="s">
        <v>297</v>
      </c>
      <c r="Z415">
        <v>200</v>
      </c>
      <c r="AA415" t="s">
        <v>44</v>
      </c>
      <c r="AB415">
        <v>2</v>
      </c>
      <c r="AD415">
        <v>2</v>
      </c>
      <c r="AE415">
        <v>34.7</v>
      </c>
      <c r="AF415">
        <v>26.5</v>
      </c>
      <c r="AG415">
        <v>17.5</v>
      </c>
      <c r="AH415">
        <v>0.02</v>
      </c>
      <c r="AI415">
        <v>4</v>
      </c>
    </row>
    <row r="416" hidden="1" spans="1:35">
      <c r="A416" t="s">
        <v>903</v>
      </c>
      <c r="B416" t="s">
        <v>904</v>
      </c>
      <c r="D416" t="s">
        <v>37</v>
      </c>
      <c r="F416">
        <v>1</v>
      </c>
      <c r="G416">
        <v>1</v>
      </c>
      <c r="K416">
        <v>1</v>
      </c>
      <c r="L416" t="s">
        <v>53</v>
      </c>
      <c r="M416">
        <v>20</v>
      </c>
      <c r="N416" t="s">
        <v>64</v>
      </c>
      <c r="O416">
        <v>20</v>
      </c>
      <c r="P416" t="s">
        <v>41</v>
      </c>
      <c r="Q416" t="s">
        <v>42</v>
      </c>
      <c r="R416" t="s">
        <v>43</v>
      </c>
      <c r="S416" t="s">
        <v>44</v>
      </c>
      <c r="T416" t="s">
        <v>44</v>
      </c>
      <c r="U416" t="s">
        <v>44</v>
      </c>
      <c r="V416" t="s">
        <v>45</v>
      </c>
      <c r="W416" t="s">
        <v>55</v>
      </c>
      <c r="X416" t="s">
        <v>297</v>
      </c>
      <c r="Z416">
        <v>250</v>
      </c>
      <c r="AA416" t="s">
        <v>44</v>
      </c>
      <c r="AB416">
        <v>0</v>
      </c>
      <c r="AD416">
        <v>2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hidden="1" spans="1:35">
      <c r="A417" t="s">
        <v>905</v>
      </c>
      <c r="B417" t="s">
        <v>906</v>
      </c>
      <c r="D417" t="s">
        <v>37</v>
      </c>
      <c r="F417">
        <v>1</v>
      </c>
      <c r="G417">
        <v>1</v>
      </c>
      <c r="K417">
        <v>1</v>
      </c>
      <c r="L417" t="s">
        <v>53</v>
      </c>
      <c r="M417">
        <v>20</v>
      </c>
      <c r="N417" t="s">
        <v>64</v>
      </c>
      <c r="O417">
        <v>20</v>
      </c>
      <c r="P417" t="s">
        <v>41</v>
      </c>
      <c r="Q417" t="s">
        <v>42</v>
      </c>
      <c r="R417" t="s">
        <v>43</v>
      </c>
      <c r="S417" t="s">
        <v>44</v>
      </c>
      <c r="T417" t="s">
        <v>44</v>
      </c>
      <c r="U417" t="s">
        <v>44</v>
      </c>
      <c r="V417" t="s">
        <v>45</v>
      </c>
      <c r="W417" t="s">
        <v>55</v>
      </c>
      <c r="X417" t="s">
        <v>297</v>
      </c>
      <c r="Z417">
        <v>500</v>
      </c>
      <c r="AA417" t="s">
        <v>43</v>
      </c>
      <c r="AB417">
        <v>0</v>
      </c>
      <c r="AD417">
        <v>2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>
      <c r="A418" t="s">
        <v>907</v>
      </c>
      <c r="B418" t="s">
        <v>906</v>
      </c>
      <c r="D418" t="s">
        <v>37</v>
      </c>
      <c r="F418">
        <v>1</v>
      </c>
      <c r="G418">
        <v>1</v>
      </c>
      <c r="H418" t="s">
        <v>38</v>
      </c>
      <c r="K418">
        <v>26</v>
      </c>
      <c r="L418" t="s">
        <v>53</v>
      </c>
      <c r="M418">
        <v>26</v>
      </c>
      <c r="N418" t="s">
        <v>505</v>
      </c>
      <c r="O418">
        <v>26</v>
      </c>
      <c r="P418" t="s">
        <v>41</v>
      </c>
      <c r="Q418" t="s">
        <v>42</v>
      </c>
      <c r="R418" t="s">
        <v>43</v>
      </c>
      <c r="S418" t="s">
        <v>44</v>
      </c>
      <c r="T418" t="s">
        <v>44</v>
      </c>
      <c r="U418" t="s">
        <v>44</v>
      </c>
      <c r="V418" t="s">
        <v>45</v>
      </c>
      <c r="W418" t="s">
        <v>55</v>
      </c>
      <c r="X418" t="s">
        <v>297</v>
      </c>
      <c r="Z418">
        <v>500</v>
      </c>
      <c r="AA418" t="s">
        <v>44</v>
      </c>
      <c r="AB418">
        <v>0</v>
      </c>
      <c r="AD418">
        <v>2</v>
      </c>
      <c r="AE418">
        <v>53.4</v>
      </c>
      <c r="AF418">
        <v>27.5</v>
      </c>
      <c r="AG418">
        <v>35</v>
      </c>
      <c r="AH418">
        <v>0.05</v>
      </c>
      <c r="AI418">
        <v>14.36</v>
      </c>
    </row>
    <row r="419" spans="1:35">
      <c r="A419" t="s">
        <v>908</v>
      </c>
      <c r="B419" t="s">
        <v>909</v>
      </c>
      <c r="D419" t="s">
        <v>37</v>
      </c>
      <c r="F419">
        <v>1</v>
      </c>
      <c r="G419">
        <v>1</v>
      </c>
      <c r="H419" t="s">
        <v>38</v>
      </c>
      <c r="K419">
        <v>24</v>
      </c>
      <c r="L419" t="s">
        <v>39</v>
      </c>
      <c r="M419">
        <v>24</v>
      </c>
      <c r="N419" t="s">
        <v>40</v>
      </c>
      <c r="O419" s="2">
        <v>2400</v>
      </c>
      <c r="P419" t="s">
        <v>41</v>
      </c>
      <c r="Q419" t="s">
        <v>42</v>
      </c>
      <c r="R419" t="s">
        <v>43</v>
      </c>
      <c r="S419" t="s">
        <v>44</v>
      </c>
      <c r="T419" t="s">
        <v>44</v>
      </c>
      <c r="U419" t="s">
        <v>44</v>
      </c>
      <c r="V419" t="s">
        <v>45</v>
      </c>
      <c r="W419" t="s">
        <v>46</v>
      </c>
      <c r="X419" t="s">
        <v>297</v>
      </c>
      <c r="Z419">
        <v>60</v>
      </c>
      <c r="AA419" t="s">
        <v>44</v>
      </c>
      <c r="AB419">
        <v>0</v>
      </c>
      <c r="AD419">
        <v>2</v>
      </c>
      <c r="AE419">
        <v>31.5</v>
      </c>
      <c r="AF419">
        <v>19.8</v>
      </c>
      <c r="AG419">
        <v>17.6</v>
      </c>
      <c r="AH419">
        <v>0.01</v>
      </c>
      <c r="AI419">
        <v>2.64</v>
      </c>
    </row>
    <row r="420" spans="1:35">
      <c r="A420" t="s">
        <v>910</v>
      </c>
      <c r="B420" t="s">
        <v>911</v>
      </c>
      <c r="D420" t="s">
        <v>37</v>
      </c>
      <c r="F420">
        <v>1</v>
      </c>
      <c r="G420">
        <v>1</v>
      </c>
      <c r="H420" t="s">
        <v>38</v>
      </c>
      <c r="I420">
        <v>12</v>
      </c>
      <c r="J420" t="str">
        <f>IF(OR(ISNUMBER(SEARCH("2Bks",B420)),ISNUMBER(SEARCH("5Bks",B420))),"RencengBNS",IF(ISNUMBER(SEARCH("1Box",B420)),"BoxBNS"," "))</f>
        <v>BoxBNS</v>
      </c>
      <c r="K420">
        <v>2</v>
      </c>
      <c r="L420" t="s">
        <v>39</v>
      </c>
      <c r="M420">
        <v>24</v>
      </c>
      <c r="N420" t="s">
        <v>40</v>
      </c>
      <c r="O420">
        <v>1</v>
      </c>
      <c r="P420" t="s">
        <v>41</v>
      </c>
      <c r="Q420" t="s">
        <v>42</v>
      </c>
      <c r="R420" t="s">
        <v>43</v>
      </c>
      <c r="S420" t="s">
        <v>44</v>
      </c>
      <c r="T420" t="s">
        <v>44</v>
      </c>
      <c r="U420" t="s">
        <v>44</v>
      </c>
      <c r="V420" t="s">
        <v>45</v>
      </c>
      <c r="W420" t="s">
        <v>46</v>
      </c>
      <c r="X420" t="s">
        <v>297</v>
      </c>
      <c r="Z420">
        <v>60</v>
      </c>
      <c r="AA420" t="s">
        <v>44</v>
      </c>
      <c r="AB420">
        <v>0</v>
      </c>
      <c r="AD420">
        <v>2</v>
      </c>
      <c r="AE420">
        <v>34.7</v>
      </c>
      <c r="AF420">
        <v>26.5</v>
      </c>
      <c r="AG420">
        <v>17.5</v>
      </c>
      <c r="AH420">
        <v>0.02</v>
      </c>
      <c r="AI420">
        <v>2.95</v>
      </c>
    </row>
    <row r="421" spans="1:35">
      <c r="A421" t="s">
        <v>912</v>
      </c>
      <c r="B421" t="s">
        <v>913</v>
      </c>
      <c r="D421" t="s">
        <v>37</v>
      </c>
      <c r="F421">
        <v>1</v>
      </c>
      <c r="G421">
        <v>1</v>
      </c>
      <c r="H421" t="s">
        <v>38</v>
      </c>
      <c r="K421">
        <v>6</v>
      </c>
      <c r="L421" t="s">
        <v>53</v>
      </c>
      <c r="M421">
        <v>6</v>
      </c>
      <c r="N421" t="s">
        <v>735</v>
      </c>
      <c r="O421">
        <v>600</v>
      </c>
      <c r="P421" t="s">
        <v>41</v>
      </c>
      <c r="Q421" t="s">
        <v>42</v>
      </c>
      <c r="R421" t="s">
        <v>43</v>
      </c>
      <c r="S421" t="s">
        <v>44</v>
      </c>
      <c r="T421" t="s">
        <v>44</v>
      </c>
      <c r="U421" t="s">
        <v>44</v>
      </c>
      <c r="V421" t="s">
        <v>45</v>
      </c>
      <c r="W421" t="s">
        <v>151</v>
      </c>
      <c r="X421" t="s">
        <v>461</v>
      </c>
      <c r="Z421">
        <v>300</v>
      </c>
      <c r="AA421" t="s">
        <v>44</v>
      </c>
      <c r="AB421">
        <v>0</v>
      </c>
      <c r="AD421">
        <v>2</v>
      </c>
      <c r="AE421">
        <v>39.2</v>
      </c>
      <c r="AF421">
        <v>25</v>
      </c>
      <c r="AG421">
        <v>27.7</v>
      </c>
      <c r="AH421">
        <v>0.03</v>
      </c>
      <c r="AI421" s="2">
        <v>1800</v>
      </c>
    </row>
    <row r="422" spans="1:35">
      <c r="A422" t="s">
        <v>914</v>
      </c>
      <c r="B422" t="s">
        <v>915</v>
      </c>
      <c r="D422" t="s">
        <v>37</v>
      </c>
      <c r="F422">
        <v>1</v>
      </c>
      <c r="G422">
        <v>1</v>
      </c>
      <c r="H422" t="s">
        <v>38</v>
      </c>
      <c r="K422">
        <v>20</v>
      </c>
      <c r="L422" t="s">
        <v>39</v>
      </c>
      <c r="M422">
        <v>20</v>
      </c>
      <c r="N422" t="s">
        <v>50</v>
      </c>
      <c r="O422" s="2">
        <v>2000</v>
      </c>
      <c r="P422" t="s">
        <v>41</v>
      </c>
      <c r="Q422" t="s">
        <v>42</v>
      </c>
      <c r="R422" t="s">
        <v>43</v>
      </c>
      <c r="S422" t="s">
        <v>44</v>
      </c>
      <c r="T422" t="s">
        <v>44</v>
      </c>
      <c r="U422" t="s">
        <v>44</v>
      </c>
      <c r="V422" t="s">
        <v>45</v>
      </c>
      <c r="W422" t="s">
        <v>46</v>
      </c>
      <c r="X422" t="s">
        <v>297</v>
      </c>
      <c r="Z422">
        <v>50</v>
      </c>
      <c r="AA422" t="s">
        <v>44</v>
      </c>
      <c r="AB422">
        <v>0</v>
      </c>
      <c r="AD422">
        <v>2</v>
      </c>
      <c r="AE422">
        <v>28</v>
      </c>
      <c r="AF422">
        <v>21.4</v>
      </c>
      <c r="AG422">
        <v>27.4</v>
      </c>
      <c r="AH422">
        <v>0.02</v>
      </c>
      <c r="AI422">
        <v>2.09</v>
      </c>
    </row>
    <row r="423" hidden="1" spans="1:35">
      <c r="A423" t="s">
        <v>916</v>
      </c>
      <c r="B423" t="s">
        <v>917</v>
      </c>
      <c r="D423" t="s">
        <v>37</v>
      </c>
      <c r="F423">
        <v>1</v>
      </c>
      <c r="G423">
        <v>1</v>
      </c>
      <c r="K423">
        <v>1</v>
      </c>
      <c r="L423" t="s">
        <v>58</v>
      </c>
      <c r="M423">
        <v>36</v>
      </c>
      <c r="N423" t="s">
        <v>59</v>
      </c>
      <c r="O423" s="2">
        <v>3600</v>
      </c>
      <c r="P423" t="s">
        <v>41</v>
      </c>
      <c r="Q423" t="s">
        <v>42</v>
      </c>
      <c r="R423" t="s">
        <v>43</v>
      </c>
      <c r="S423" t="s">
        <v>44</v>
      </c>
      <c r="T423" t="s">
        <v>44</v>
      </c>
      <c r="U423" t="s">
        <v>44</v>
      </c>
      <c r="V423" t="s">
        <v>45</v>
      </c>
      <c r="W423" t="s">
        <v>55</v>
      </c>
      <c r="X423" t="s">
        <v>297</v>
      </c>
      <c r="Z423">
        <v>200</v>
      </c>
      <c r="AA423" t="s">
        <v>44</v>
      </c>
      <c r="AB423">
        <v>0</v>
      </c>
      <c r="AD423">
        <v>2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>
      <c r="A424" t="s">
        <v>918</v>
      </c>
      <c r="B424" t="s">
        <v>919</v>
      </c>
      <c r="D424" t="s">
        <v>37</v>
      </c>
      <c r="F424">
        <v>1</v>
      </c>
      <c r="G424">
        <v>1</v>
      </c>
      <c r="H424" t="s">
        <v>38</v>
      </c>
      <c r="K424">
        <v>15</v>
      </c>
      <c r="L424" t="s">
        <v>53</v>
      </c>
      <c r="M424">
        <v>15</v>
      </c>
      <c r="N424" t="s">
        <v>498</v>
      </c>
      <c r="O424">
        <v>15</v>
      </c>
      <c r="P424" t="s">
        <v>41</v>
      </c>
      <c r="Q424" t="s">
        <v>42</v>
      </c>
      <c r="R424" t="s">
        <v>43</v>
      </c>
      <c r="S424" t="s">
        <v>44</v>
      </c>
      <c r="T424" t="s">
        <v>44</v>
      </c>
      <c r="U424" t="s">
        <v>44</v>
      </c>
      <c r="V424" t="s">
        <v>45</v>
      </c>
      <c r="W424" t="s">
        <v>55</v>
      </c>
      <c r="X424" t="s">
        <v>297</v>
      </c>
      <c r="Z424" s="2">
        <v>1000</v>
      </c>
      <c r="AA424" t="s">
        <v>44</v>
      </c>
      <c r="AB424">
        <v>0</v>
      </c>
      <c r="AD424">
        <v>2</v>
      </c>
      <c r="AE424">
        <v>53.4</v>
      </c>
      <c r="AF424">
        <v>27.5</v>
      </c>
      <c r="AG424">
        <v>35</v>
      </c>
      <c r="AH424">
        <v>0.05</v>
      </c>
      <c r="AI424">
        <v>16.28</v>
      </c>
    </row>
    <row r="425" spans="1:35">
      <c r="A425" t="s">
        <v>920</v>
      </c>
      <c r="B425" t="s">
        <v>921</v>
      </c>
      <c r="D425" t="s">
        <v>37</v>
      </c>
      <c r="F425">
        <v>1</v>
      </c>
      <c r="G425">
        <v>1</v>
      </c>
      <c r="H425" t="s">
        <v>38</v>
      </c>
      <c r="K425">
        <v>12</v>
      </c>
      <c r="L425" t="s">
        <v>58</v>
      </c>
      <c r="M425">
        <v>12</v>
      </c>
      <c r="N425" t="s">
        <v>61</v>
      </c>
      <c r="O425" s="2">
        <v>1200</v>
      </c>
      <c r="P425" t="s">
        <v>41</v>
      </c>
      <c r="Q425" t="s">
        <v>42</v>
      </c>
      <c r="R425" t="s">
        <v>43</v>
      </c>
      <c r="S425" t="s">
        <v>44</v>
      </c>
      <c r="T425" t="s">
        <v>44</v>
      </c>
      <c r="U425" t="s">
        <v>44</v>
      </c>
      <c r="V425" t="s">
        <v>45</v>
      </c>
      <c r="W425" t="s">
        <v>55</v>
      </c>
      <c r="X425" t="s">
        <v>297</v>
      </c>
      <c r="Z425">
        <v>200</v>
      </c>
      <c r="AA425" t="s">
        <v>44</v>
      </c>
      <c r="AB425">
        <v>2</v>
      </c>
      <c r="AD425">
        <v>2</v>
      </c>
      <c r="AE425">
        <v>34.7</v>
      </c>
      <c r="AF425">
        <v>26.5</v>
      </c>
      <c r="AG425">
        <v>21.6</v>
      </c>
      <c r="AH425">
        <v>0.02</v>
      </c>
      <c r="AI425">
        <v>4</v>
      </c>
    </row>
    <row r="426" spans="1:35">
      <c r="A426" t="s">
        <v>922</v>
      </c>
      <c r="B426" t="s">
        <v>923</v>
      </c>
      <c r="D426" t="s">
        <v>37</v>
      </c>
      <c r="F426">
        <v>1</v>
      </c>
      <c r="G426">
        <v>1</v>
      </c>
      <c r="H426" t="s">
        <v>38</v>
      </c>
      <c r="K426">
        <v>24</v>
      </c>
      <c r="L426" t="s">
        <v>39</v>
      </c>
      <c r="M426">
        <v>24</v>
      </c>
      <c r="N426" t="s">
        <v>40</v>
      </c>
      <c r="O426">
        <v>1</v>
      </c>
      <c r="P426" t="s">
        <v>41</v>
      </c>
      <c r="Q426" t="s">
        <v>42</v>
      </c>
      <c r="R426" t="s">
        <v>43</v>
      </c>
      <c r="S426" t="s">
        <v>44</v>
      </c>
      <c r="T426" t="s">
        <v>44</v>
      </c>
      <c r="U426" t="s">
        <v>44</v>
      </c>
      <c r="V426" t="s">
        <v>45</v>
      </c>
      <c r="W426" t="s">
        <v>230</v>
      </c>
      <c r="X426" t="s">
        <v>297</v>
      </c>
      <c r="Z426">
        <v>200</v>
      </c>
      <c r="AA426" t="s">
        <v>44</v>
      </c>
      <c r="AB426">
        <v>0</v>
      </c>
      <c r="AD426">
        <v>2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hidden="1" spans="1:35">
      <c r="A427" t="s">
        <v>924</v>
      </c>
      <c r="B427" t="s">
        <v>925</v>
      </c>
      <c r="D427" t="s">
        <v>37</v>
      </c>
      <c r="F427">
        <v>1</v>
      </c>
      <c r="G427">
        <v>1</v>
      </c>
      <c r="K427">
        <v>1</v>
      </c>
      <c r="L427" t="s">
        <v>58</v>
      </c>
      <c r="M427">
        <v>36</v>
      </c>
      <c r="N427" t="s">
        <v>59</v>
      </c>
      <c r="O427">
        <v>1</v>
      </c>
      <c r="P427" t="s">
        <v>41</v>
      </c>
      <c r="Q427" t="s">
        <v>42</v>
      </c>
      <c r="R427" t="s">
        <v>43</v>
      </c>
      <c r="S427" t="s">
        <v>44</v>
      </c>
      <c r="T427" t="s">
        <v>44</v>
      </c>
      <c r="U427" t="s">
        <v>44</v>
      </c>
      <c r="V427" t="s">
        <v>45</v>
      </c>
      <c r="W427" t="s">
        <v>55</v>
      </c>
      <c r="X427" t="s">
        <v>297</v>
      </c>
      <c r="Z427">
        <v>200</v>
      </c>
      <c r="AA427" t="s">
        <v>43</v>
      </c>
      <c r="AB427">
        <v>0</v>
      </c>
      <c r="AD427">
        <v>2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hidden="1" spans="1:35">
      <c r="A428" t="s">
        <v>926</v>
      </c>
      <c r="B428" t="s">
        <v>927</v>
      </c>
      <c r="D428" t="s">
        <v>37</v>
      </c>
      <c r="F428">
        <v>1</v>
      </c>
      <c r="G428">
        <v>1</v>
      </c>
      <c r="K428">
        <v>1</v>
      </c>
      <c r="L428" t="s">
        <v>53</v>
      </c>
      <c r="M428">
        <v>10</v>
      </c>
      <c r="N428" t="s">
        <v>54</v>
      </c>
      <c r="O428">
        <v>10</v>
      </c>
      <c r="P428" t="s">
        <v>41</v>
      </c>
      <c r="Q428" t="s">
        <v>42</v>
      </c>
      <c r="R428" t="s">
        <v>43</v>
      </c>
      <c r="S428" t="s">
        <v>44</v>
      </c>
      <c r="T428" t="s">
        <v>44</v>
      </c>
      <c r="U428" t="s">
        <v>44</v>
      </c>
      <c r="V428" t="s">
        <v>45</v>
      </c>
      <c r="W428" t="s">
        <v>55</v>
      </c>
      <c r="X428" t="s">
        <v>297</v>
      </c>
      <c r="Z428" s="2">
        <v>1000</v>
      </c>
      <c r="AA428" t="s">
        <v>43</v>
      </c>
      <c r="AB428">
        <v>0</v>
      </c>
      <c r="AD428">
        <v>2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>
      <c r="A429" t="s">
        <v>928</v>
      </c>
      <c r="B429" t="s">
        <v>927</v>
      </c>
      <c r="D429" t="s">
        <v>37</v>
      </c>
      <c r="F429">
        <v>1</v>
      </c>
      <c r="G429">
        <v>1</v>
      </c>
      <c r="H429" t="s">
        <v>38</v>
      </c>
      <c r="K429">
        <v>15</v>
      </c>
      <c r="L429" t="s">
        <v>53</v>
      </c>
      <c r="M429">
        <v>15</v>
      </c>
      <c r="N429" t="s">
        <v>498</v>
      </c>
      <c r="O429">
        <v>15</v>
      </c>
      <c r="P429" t="s">
        <v>41</v>
      </c>
      <c r="Q429" t="s">
        <v>42</v>
      </c>
      <c r="R429" t="s">
        <v>43</v>
      </c>
      <c r="S429" t="s">
        <v>44</v>
      </c>
      <c r="T429" t="s">
        <v>44</v>
      </c>
      <c r="U429" t="s">
        <v>44</v>
      </c>
      <c r="V429" t="s">
        <v>45</v>
      </c>
      <c r="W429" t="s">
        <v>55</v>
      </c>
      <c r="X429" t="s">
        <v>297</v>
      </c>
      <c r="Z429" s="2">
        <v>1000</v>
      </c>
      <c r="AA429" t="s">
        <v>44</v>
      </c>
      <c r="AB429">
        <v>0</v>
      </c>
      <c r="AD429">
        <v>2</v>
      </c>
      <c r="AE429">
        <v>53.4</v>
      </c>
      <c r="AF429">
        <v>27.5</v>
      </c>
      <c r="AG429">
        <v>35</v>
      </c>
      <c r="AH429">
        <v>0.05</v>
      </c>
      <c r="AI429">
        <v>16.31</v>
      </c>
    </row>
    <row r="430" hidden="1" spans="1:35">
      <c r="A430" t="s">
        <v>929</v>
      </c>
      <c r="B430" t="s">
        <v>930</v>
      </c>
      <c r="D430" t="s">
        <v>37</v>
      </c>
      <c r="F430">
        <v>1</v>
      </c>
      <c r="G430">
        <v>1</v>
      </c>
      <c r="K430">
        <v>1</v>
      </c>
      <c r="L430" t="s">
        <v>58</v>
      </c>
      <c r="M430">
        <v>36</v>
      </c>
      <c r="N430" t="s">
        <v>59</v>
      </c>
      <c r="O430" s="2">
        <v>3600</v>
      </c>
      <c r="P430" t="s">
        <v>41</v>
      </c>
      <c r="Q430" t="s">
        <v>42</v>
      </c>
      <c r="R430" t="s">
        <v>43</v>
      </c>
      <c r="S430" t="s">
        <v>44</v>
      </c>
      <c r="T430" t="s">
        <v>44</v>
      </c>
      <c r="U430" t="s">
        <v>44</v>
      </c>
      <c r="V430" t="s">
        <v>45</v>
      </c>
      <c r="W430" t="s">
        <v>55</v>
      </c>
      <c r="X430" t="s">
        <v>297</v>
      </c>
      <c r="Z430">
        <v>200</v>
      </c>
      <c r="AA430" t="s">
        <v>43</v>
      </c>
      <c r="AB430">
        <v>0</v>
      </c>
      <c r="AD430">
        <v>2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hidden="1" spans="1:35">
      <c r="A431" t="s">
        <v>931</v>
      </c>
      <c r="B431" t="s">
        <v>930</v>
      </c>
      <c r="D431" t="s">
        <v>37</v>
      </c>
      <c r="F431">
        <v>1</v>
      </c>
      <c r="G431">
        <v>1</v>
      </c>
      <c r="K431">
        <v>1</v>
      </c>
      <c r="L431" t="s">
        <v>58</v>
      </c>
      <c r="M431">
        <v>12</v>
      </c>
      <c r="N431" t="s">
        <v>61</v>
      </c>
      <c r="O431" s="2">
        <v>1200</v>
      </c>
      <c r="P431" t="s">
        <v>41</v>
      </c>
      <c r="Q431" t="s">
        <v>42</v>
      </c>
      <c r="R431" t="s">
        <v>43</v>
      </c>
      <c r="S431" t="s">
        <v>44</v>
      </c>
      <c r="T431" t="s">
        <v>44</v>
      </c>
      <c r="U431" t="s">
        <v>44</v>
      </c>
      <c r="V431" t="s">
        <v>45</v>
      </c>
      <c r="W431" t="s">
        <v>55</v>
      </c>
      <c r="X431" t="s">
        <v>297</v>
      </c>
      <c r="Z431">
        <v>200</v>
      </c>
      <c r="AA431" t="s">
        <v>44</v>
      </c>
      <c r="AB431">
        <v>11</v>
      </c>
      <c r="AD431">
        <v>2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hidden="1" spans="1:35">
      <c r="A432" t="s">
        <v>932</v>
      </c>
      <c r="B432" t="s">
        <v>933</v>
      </c>
      <c r="D432" t="s">
        <v>37</v>
      </c>
      <c r="F432">
        <v>1</v>
      </c>
      <c r="G432">
        <v>1</v>
      </c>
      <c r="K432">
        <v>1</v>
      </c>
      <c r="L432" t="s">
        <v>53</v>
      </c>
      <c r="M432">
        <v>20</v>
      </c>
      <c r="N432" t="s">
        <v>64</v>
      </c>
      <c r="O432">
        <v>1</v>
      </c>
      <c r="P432" t="s">
        <v>41</v>
      </c>
      <c r="Q432" t="s">
        <v>42</v>
      </c>
      <c r="R432" t="s">
        <v>43</v>
      </c>
      <c r="S432" t="s">
        <v>44</v>
      </c>
      <c r="T432" t="s">
        <v>44</v>
      </c>
      <c r="U432" t="s">
        <v>44</v>
      </c>
      <c r="V432" t="s">
        <v>45</v>
      </c>
      <c r="W432" t="s">
        <v>55</v>
      </c>
      <c r="X432" t="s">
        <v>297</v>
      </c>
      <c r="Z432">
        <v>250</v>
      </c>
      <c r="AA432" t="s">
        <v>44</v>
      </c>
      <c r="AB432">
        <v>0</v>
      </c>
      <c r="AD432">
        <v>2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hidden="1" spans="1:35">
      <c r="A433" t="s">
        <v>934</v>
      </c>
      <c r="B433" t="s">
        <v>935</v>
      </c>
      <c r="D433" t="s">
        <v>37</v>
      </c>
      <c r="F433">
        <v>1</v>
      </c>
      <c r="G433">
        <v>1</v>
      </c>
      <c r="K433">
        <v>1</v>
      </c>
      <c r="L433" t="s">
        <v>39</v>
      </c>
      <c r="M433">
        <v>24</v>
      </c>
      <c r="N433" t="s">
        <v>40</v>
      </c>
      <c r="O433" s="2">
        <v>2400</v>
      </c>
      <c r="P433" t="s">
        <v>41</v>
      </c>
      <c r="Q433" t="s">
        <v>42</v>
      </c>
      <c r="R433" t="s">
        <v>43</v>
      </c>
      <c r="S433" t="s">
        <v>44</v>
      </c>
      <c r="T433" t="s">
        <v>44</v>
      </c>
      <c r="U433" t="s">
        <v>44</v>
      </c>
      <c r="V433" t="s">
        <v>45</v>
      </c>
      <c r="W433" t="s">
        <v>46</v>
      </c>
      <c r="X433" t="s">
        <v>297</v>
      </c>
      <c r="Z433">
        <v>60</v>
      </c>
      <c r="AA433" t="s">
        <v>44</v>
      </c>
      <c r="AB433">
        <v>76</v>
      </c>
      <c r="AD433">
        <v>2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>
      <c r="A434" t="s">
        <v>936</v>
      </c>
      <c r="B434" t="s">
        <v>937</v>
      </c>
      <c r="D434" t="s">
        <v>37</v>
      </c>
      <c r="F434">
        <v>1</v>
      </c>
      <c r="G434">
        <v>1</v>
      </c>
      <c r="H434" t="s">
        <v>38</v>
      </c>
      <c r="I434">
        <v>12</v>
      </c>
      <c r="J434" t="str">
        <f>IF(OR(ISNUMBER(SEARCH("2Bks",B434)),ISNUMBER(SEARCH("5Bks",B434))),"RencengBNS",IF(ISNUMBER(SEARCH("1Box",B434)),"BoxBNS"," "))</f>
        <v>BoxBNS</v>
      </c>
      <c r="K434">
        <v>2</v>
      </c>
      <c r="L434" t="s">
        <v>39</v>
      </c>
      <c r="M434">
        <v>24</v>
      </c>
      <c r="N434" t="s">
        <v>40</v>
      </c>
      <c r="O434">
        <v>1</v>
      </c>
      <c r="P434" t="s">
        <v>41</v>
      </c>
      <c r="Q434" t="s">
        <v>42</v>
      </c>
      <c r="R434" t="s">
        <v>43</v>
      </c>
      <c r="S434" t="s">
        <v>44</v>
      </c>
      <c r="T434" t="s">
        <v>44</v>
      </c>
      <c r="U434" t="s">
        <v>44</v>
      </c>
      <c r="V434" t="s">
        <v>45</v>
      </c>
      <c r="W434" t="s">
        <v>46</v>
      </c>
      <c r="X434" t="s">
        <v>297</v>
      </c>
      <c r="Z434">
        <v>60</v>
      </c>
      <c r="AA434" t="s">
        <v>44</v>
      </c>
      <c r="AB434">
        <v>0</v>
      </c>
      <c r="AD434">
        <v>2</v>
      </c>
      <c r="AE434">
        <v>34.7</v>
      </c>
      <c r="AF434">
        <v>26.5</v>
      </c>
      <c r="AG434">
        <v>17.5</v>
      </c>
      <c r="AH434">
        <v>0.02</v>
      </c>
      <c r="AI434">
        <v>2.95</v>
      </c>
    </row>
    <row r="435" spans="1:35">
      <c r="A435" t="s">
        <v>938</v>
      </c>
      <c r="B435" t="s">
        <v>939</v>
      </c>
      <c r="D435" t="s">
        <v>37</v>
      </c>
      <c r="F435">
        <v>1</v>
      </c>
      <c r="G435">
        <v>1</v>
      </c>
      <c r="H435" t="s">
        <v>38</v>
      </c>
      <c r="I435">
        <v>10</v>
      </c>
      <c r="J435" t="s">
        <v>940</v>
      </c>
      <c r="K435">
        <v>2</v>
      </c>
      <c r="L435" t="s">
        <v>39</v>
      </c>
      <c r="M435">
        <v>20</v>
      </c>
      <c r="N435" t="s">
        <v>941</v>
      </c>
      <c r="O435" s="2">
        <v>1000</v>
      </c>
      <c r="P435" t="s">
        <v>41</v>
      </c>
      <c r="Q435" t="s">
        <v>42</v>
      </c>
      <c r="R435" t="s">
        <v>43</v>
      </c>
      <c r="S435" t="s">
        <v>44</v>
      </c>
      <c r="T435" t="s">
        <v>44</v>
      </c>
      <c r="U435" t="s">
        <v>44</v>
      </c>
      <c r="V435" t="s">
        <v>45</v>
      </c>
      <c r="W435" t="s">
        <v>46</v>
      </c>
      <c r="X435" t="s">
        <v>297</v>
      </c>
      <c r="Z435">
        <v>100</v>
      </c>
      <c r="AA435" t="s">
        <v>44</v>
      </c>
      <c r="AB435">
        <v>30</v>
      </c>
      <c r="AD435">
        <v>2</v>
      </c>
      <c r="AE435">
        <v>28</v>
      </c>
      <c r="AF435">
        <v>21.4</v>
      </c>
      <c r="AG435">
        <v>27.4</v>
      </c>
      <c r="AH435">
        <v>0.02</v>
      </c>
      <c r="AI435" s="2">
        <v>1000</v>
      </c>
    </row>
    <row r="436" hidden="1" spans="1:35">
      <c r="A436" t="s">
        <v>942</v>
      </c>
      <c r="B436" t="s">
        <v>943</v>
      </c>
      <c r="D436" t="s">
        <v>37</v>
      </c>
      <c r="F436">
        <v>1</v>
      </c>
      <c r="G436">
        <v>1</v>
      </c>
      <c r="K436">
        <v>1</v>
      </c>
      <c r="L436" t="s">
        <v>39</v>
      </c>
      <c r="M436">
        <v>20</v>
      </c>
      <c r="N436" t="s">
        <v>50</v>
      </c>
      <c r="O436" s="2">
        <v>2000</v>
      </c>
      <c r="P436" t="s">
        <v>41</v>
      </c>
      <c r="Q436" t="s">
        <v>42</v>
      </c>
      <c r="R436" t="s">
        <v>43</v>
      </c>
      <c r="S436" t="s">
        <v>44</v>
      </c>
      <c r="T436" t="s">
        <v>44</v>
      </c>
      <c r="U436" t="s">
        <v>44</v>
      </c>
      <c r="V436" t="s">
        <v>45</v>
      </c>
      <c r="W436" t="s">
        <v>46</v>
      </c>
      <c r="X436" t="s">
        <v>297</v>
      </c>
      <c r="Z436">
        <v>50</v>
      </c>
      <c r="AA436" t="s">
        <v>44</v>
      </c>
      <c r="AB436">
        <v>4</v>
      </c>
      <c r="AD436">
        <v>2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hidden="1" spans="1:35">
      <c r="A437" t="s">
        <v>944</v>
      </c>
      <c r="B437" t="s">
        <v>945</v>
      </c>
      <c r="D437" t="s">
        <v>37</v>
      </c>
      <c r="F437">
        <v>1</v>
      </c>
      <c r="G437">
        <v>1</v>
      </c>
      <c r="K437">
        <v>1</v>
      </c>
      <c r="L437" t="s">
        <v>58</v>
      </c>
      <c r="M437">
        <v>36</v>
      </c>
      <c r="N437" t="s">
        <v>59</v>
      </c>
      <c r="O437" s="2">
        <v>3600</v>
      </c>
      <c r="P437" t="s">
        <v>41</v>
      </c>
      <c r="Q437" t="s">
        <v>42</v>
      </c>
      <c r="R437" t="s">
        <v>43</v>
      </c>
      <c r="S437" t="s">
        <v>44</v>
      </c>
      <c r="T437" t="s">
        <v>44</v>
      </c>
      <c r="U437" t="s">
        <v>44</v>
      </c>
      <c r="V437" t="s">
        <v>45</v>
      </c>
      <c r="W437" t="s">
        <v>55</v>
      </c>
      <c r="X437" t="s">
        <v>297</v>
      </c>
      <c r="Z437">
        <v>100</v>
      </c>
      <c r="AA437" t="s">
        <v>43</v>
      </c>
      <c r="AB437">
        <v>0</v>
      </c>
      <c r="AD437">
        <v>2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>
      <c r="A438" t="s">
        <v>946</v>
      </c>
      <c r="B438" t="s">
        <v>945</v>
      </c>
      <c r="D438" t="s">
        <v>37</v>
      </c>
      <c r="F438">
        <v>1</v>
      </c>
      <c r="G438">
        <v>1</v>
      </c>
      <c r="H438" t="s">
        <v>38</v>
      </c>
      <c r="K438">
        <v>12</v>
      </c>
      <c r="L438" t="s">
        <v>58</v>
      </c>
      <c r="M438">
        <v>12</v>
      </c>
      <c r="N438" t="s">
        <v>61</v>
      </c>
      <c r="O438" s="2">
        <v>1200</v>
      </c>
      <c r="P438" t="s">
        <v>41</v>
      </c>
      <c r="Q438" t="s">
        <v>42</v>
      </c>
      <c r="R438" t="s">
        <v>43</v>
      </c>
      <c r="S438" t="s">
        <v>44</v>
      </c>
      <c r="T438" t="s">
        <v>44</v>
      </c>
      <c r="U438" t="s">
        <v>44</v>
      </c>
      <c r="V438" t="s">
        <v>45</v>
      </c>
      <c r="W438" t="s">
        <v>55</v>
      </c>
      <c r="X438" t="s">
        <v>297</v>
      </c>
      <c r="Z438">
        <v>100</v>
      </c>
      <c r="AA438" t="s">
        <v>44</v>
      </c>
      <c r="AB438">
        <v>23</v>
      </c>
      <c r="AD438">
        <v>2</v>
      </c>
      <c r="AE438">
        <v>34.7</v>
      </c>
      <c r="AF438">
        <v>26.5</v>
      </c>
      <c r="AG438">
        <v>17.5</v>
      </c>
      <c r="AH438">
        <v>0.02</v>
      </c>
      <c r="AI438" s="2">
        <v>1200</v>
      </c>
    </row>
    <row r="439" hidden="1" spans="1:35">
      <c r="A439" t="s">
        <v>947</v>
      </c>
      <c r="B439" t="s">
        <v>948</v>
      </c>
      <c r="D439" t="s">
        <v>37</v>
      </c>
      <c r="F439">
        <v>1</v>
      </c>
      <c r="G439">
        <v>1</v>
      </c>
      <c r="K439">
        <v>1</v>
      </c>
      <c r="L439" t="s">
        <v>53</v>
      </c>
      <c r="M439">
        <v>15</v>
      </c>
      <c r="N439" t="s">
        <v>498</v>
      </c>
      <c r="O439">
        <v>15</v>
      </c>
      <c r="P439" t="s">
        <v>41</v>
      </c>
      <c r="Q439" t="s">
        <v>42</v>
      </c>
      <c r="R439" t="s">
        <v>43</v>
      </c>
      <c r="S439" t="s">
        <v>44</v>
      </c>
      <c r="T439" t="s">
        <v>44</v>
      </c>
      <c r="U439" t="s">
        <v>44</v>
      </c>
      <c r="V439" t="s">
        <v>45</v>
      </c>
      <c r="W439" t="s">
        <v>55</v>
      </c>
      <c r="X439" t="s">
        <v>297</v>
      </c>
      <c r="Z439" s="2">
        <v>1000</v>
      </c>
      <c r="AA439" t="s">
        <v>44</v>
      </c>
      <c r="AB439">
        <v>0</v>
      </c>
      <c r="AD439">
        <v>2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hidden="1" spans="1:35">
      <c r="A440" t="s">
        <v>949</v>
      </c>
      <c r="B440" t="s">
        <v>950</v>
      </c>
      <c r="D440" t="s">
        <v>37</v>
      </c>
      <c r="F440">
        <v>1</v>
      </c>
      <c r="G440">
        <v>1</v>
      </c>
      <c r="K440">
        <v>1</v>
      </c>
      <c r="L440" t="s">
        <v>58</v>
      </c>
      <c r="M440">
        <v>36</v>
      </c>
      <c r="N440" t="s">
        <v>59</v>
      </c>
      <c r="O440" s="2">
        <v>3600</v>
      </c>
      <c r="P440" t="s">
        <v>41</v>
      </c>
      <c r="Q440" t="s">
        <v>42</v>
      </c>
      <c r="R440" t="s">
        <v>43</v>
      </c>
      <c r="S440" t="s">
        <v>44</v>
      </c>
      <c r="T440" t="s">
        <v>44</v>
      </c>
      <c r="U440" t="s">
        <v>44</v>
      </c>
      <c r="V440" t="s">
        <v>45</v>
      </c>
      <c r="W440" t="s">
        <v>55</v>
      </c>
      <c r="X440" t="s">
        <v>297</v>
      </c>
      <c r="Z440">
        <v>100</v>
      </c>
      <c r="AA440" t="s">
        <v>44</v>
      </c>
      <c r="AB440">
        <v>0</v>
      </c>
      <c r="AD440">
        <v>2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hidden="1" spans="1:35">
      <c r="A441" t="s">
        <v>951</v>
      </c>
      <c r="B441" t="s">
        <v>950</v>
      </c>
      <c r="D441" t="s">
        <v>37</v>
      </c>
      <c r="F441">
        <v>1</v>
      </c>
      <c r="G441">
        <v>1</v>
      </c>
      <c r="K441">
        <v>1</v>
      </c>
      <c r="L441" t="s">
        <v>58</v>
      </c>
      <c r="M441">
        <v>12</v>
      </c>
      <c r="N441" t="s">
        <v>61</v>
      </c>
      <c r="O441" s="2">
        <v>1200</v>
      </c>
      <c r="P441" t="s">
        <v>41</v>
      </c>
      <c r="Q441" t="s">
        <v>42</v>
      </c>
      <c r="R441" t="s">
        <v>43</v>
      </c>
      <c r="S441" t="s">
        <v>44</v>
      </c>
      <c r="T441" t="s">
        <v>44</v>
      </c>
      <c r="U441" t="s">
        <v>44</v>
      </c>
      <c r="V441" t="s">
        <v>45</v>
      </c>
      <c r="W441" t="s">
        <v>55</v>
      </c>
      <c r="X441" t="s">
        <v>297</v>
      </c>
      <c r="Z441">
        <v>100</v>
      </c>
      <c r="AA441" t="s">
        <v>44</v>
      </c>
      <c r="AB441">
        <v>45</v>
      </c>
      <c r="AD441">
        <v>2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>
      <c r="A442" t="s">
        <v>952</v>
      </c>
      <c r="B442" t="s">
        <v>953</v>
      </c>
      <c r="D442" t="s">
        <v>37</v>
      </c>
      <c r="F442">
        <v>1</v>
      </c>
      <c r="G442">
        <v>1</v>
      </c>
      <c r="H442" t="s">
        <v>38</v>
      </c>
      <c r="K442">
        <v>26</v>
      </c>
      <c r="L442" t="s">
        <v>53</v>
      </c>
      <c r="M442">
        <v>26</v>
      </c>
      <c r="N442" t="s">
        <v>505</v>
      </c>
      <c r="O442">
        <v>26</v>
      </c>
      <c r="P442" t="s">
        <v>41</v>
      </c>
      <c r="Q442" t="s">
        <v>42</v>
      </c>
      <c r="R442" t="s">
        <v>43</v>
      </c>
      <c r="S442" t="s">
        <v>44</v>
      </c>
      <c r="T442" t="s">
        <v>44</v>
      </c>
      <c r="U442" t="s">
        <v>44</v>
      </c>
      <c r="V442" t="s">
        <v>45</v>
      </c>
      <c r="W442" t="s">
        <v>55</v>
      </c>
      <c r="X442" t="s">
        <v>297</v>
      </c>
      <c r="Z442">
        <v>500</v>
      </c>
      <c r="AA442" t="s">
        <v>44</v>
      </c>
      <c r="AB442">
        <v>0</v>
      </c>
      <c r="AD442">
        <v>2</v>
      </c>
      <c r="AE442">
        <v>53.4</v>
      </c>
      <c r="AF442">
        <v>27.5</v>
      </c>
      <c r="AG442">
        <v>35</v>
      </c>
      <c r="AH442">
        <v>0.05</v>
      </c>
      <c r="AI442">
        <v>14.36</v>
      </c>
    </row>
    <row r="443" spans="1:35">
      <c r="A443" t="s">
        <v>954</v>
      </c>
      <c r="B443" t="s">
        <v>955</v>
      </c>
      <c r="D443" t="s">
        <v>37</v>
      </c>
      <c r="F443">
        <v>1</v>
      </c>
      <c r="G443">
        <v>1</v>
      </c>
      <c r="H443" t="s">
        <v>38</v>
      </c>
      <c r="K443">
        <v>24</v>
      </c>
      <c r="L443" t="s">
        <v>39</v>
      </c>
      <c r="M443">
        <v>24</v>
      </c>
      <c r="N443" t="s">
        <v>40</v>
      </c>
      <c r="O443" s="2">
        <v>2400</v>
      </c>
      <c r="P443" t="s">
        <v>41</v>
      </c>
      <c r="Q443" t="s">
        <v>42</v>
      </c>
      <c r="R443" t="s">
        <v>43</v>
      </c>
      <c r="S443" t="s">
        <v>44</v>
      </c>
      <c r="T443" t="s">
        <v>44</v>
      </c>
      <c r="U443" t="s">
        <v>44</v>
      </c>
      <c r="V443" t="s">
        <v>45</v>
      </c>
      <c r="W443" t="s">
        <v>46</v>
      </c>
      <c r="X443" t="s">
        <v>297</v>
      </c>
      <c r="Z443">
        <v>60</v>
      </c>
      <c r="AA443" t="s">
        <v>44</v>
      </c>
      <c r="AB443">
        <v>0</v>
      </c>
      <c r="AD443">
        <v>2</v>
      </c>
      <c r="AE443">
        <v>31.5</v>
      </c>
      <c r="AF443">
        <v>19.8</v>
      </c>
      <c r="AG443">
        <v>17.6</v>
      </c>
      <c r="AH443">
        <v>0.01</v>
      </c>
      <c r="AI443">
        <v>2.64</v>
      </c>
    </row>
    <row r="444" spans="1:35">
      <c r="A444" t="s">
        <v>956</v>
      </c>
      <c r="B444" t="s">
        <v>957</v>
      </c>
      <c r="D444" t="s">
        <v>37</v>
      </c>
      <c r="F444">
        <v>1</v>
      </c>
      <c r="G444">
        <v>1</v>
      </c>
      <c r="H444" t="s">
        <v>38</v>
      </c>
      <c r="I444">
        <v>12</v>
      </c>
      <c r="J444" t="str">
        <f>IF(OR(ISNUMBER(SEARCH("2Bks",B444)),ISNUMBER(SEARCH("5Bks",B444))),"RencengBNS",IF(ISNUMBER(SEARCH("1Box",B444)),"BoxBNS"," "))</f>
        <v>BoxBNS</v>
      </c>
      <c r="K444">
        <v>2</v>
      </c>
      <c r="L444" t="s">
        <v>39</v>
      </c>
      <c r="M444">
        <v>24</v>
      </c>
      <c r="N444" t="s">
        <v>40</v>
      </c>
      <c r="O444">
        <v>1</v>
      </c>
      <c r="P444" t="s">
        <v>41</v>
      </c>
      <c r="Q444" t="s">
        <v>42</v>
      </c>
      <c r="R444" t="s">
        <v>43</v>
      </c>
      <c r="S444" t="s">
        <v>44</v>
      </c>
      <c r="T444" t="s">
        <v>44</v>
      </c>
      <c r="U444" t="s">
        <v>44</v>
      </c>
      <c r="V444" t="s">
        <v>45</v>
      </c>
      <c r="W444" t="s">
        <v>46</v>
      </c>
      <c r="X444" t="s">
        <v>297</v>
      </c>
      <c r="Z444">
        <v>60</v>
      </c>
      <c r="AA444" t="s">
        <v>44</v>
      </c>
      <c r="AB444">
        <v>0</v>
      </c>
      <c r="AD444">
        <v>2</v>
      </c>
      <c r="AE444">
        <v>34.7</v>
      </c>
      <c r="AF444">
        <v>26.5</v>
      </c>
      <c r="AG444">
        <v>17.5</v>
      </c>
      <c r="AH444">
        <v>0.02</v>
      </c>
      <c r="AI444">
        <v>2.95</v>
      </c>
    </row>
    <row r="445" spans="1:35">
      <c r="A445" t="s">
        <v>958</v>
      </c>
      <c r="B445" t="s">
        <v>959</v>
      </c>
      <c r="D445" t="s">
        <v>37</v>
      </c>
      <c r="F445">
        <v>1</v>
      </c>
      <c r="G445">
        <v>1</v>
      </c>
      <c r="H445" t="s">
        <v>38</v>
      </c>
      <c r="K445">
        <v>20</v>
      </c>
      <c r="L445" t="s">
        <v>39</v>
      </c>
      <c r="M445">
        <v>20</v>
      </c>
      <c r="N445" t="s">
        <v>50</v>
      </c>
      <c r="O445" s="2">
        <v>2000</v>
      </c>
      <c r="P445" t="s">
        <v>41</v>
      </c>
      <c r="Q445" t="s">
        <v>42</v>
      </c>
      <c r="R445" t="s">
        <v>43</v>
      </c>
      <c r="S445" t="s">
        <v>44</v>
      </c>
      <c r="T445" t="s">
        <v>44</v>
      </c>
      <c r="U445" t="s">
        <v>44</v>
      </c>
      <c r="V445" t="s">
        <v>45</v>
      </c>
      <c r="W445" t="s">
        <v>46</v>
      </c>
      <c r="X445" t="s">
        <v>297</v>
      </c>
      <c r="Z445">
        <v>50</v>
      </c>
      <c r="AA445" t="s">
        <v>44</v>
      </c>
      <c r="AB445">
        <v>0</v>
      </c>
      <c r="AD445">
        <v>2</v>
      </c>
      <c r="AE445">
        <v>28</v>
      </c>
      <c r="AF445">
        <v>21.4</v>
      </c>
      <c r="AG445">
        <v>27.4</v>
      </c>
      <c r="AH445">
        <v>0.02</v>
      </c>
      <c r="AI445">
        <v>2.09</v>
      </c>
    </row>
    <row r="446" hidden="1" spans="1:35">
      <c r="A446" t="s">
        <v>960</v>
      </c>
      <c r="B446" t="s">
        <v>961</v>
      </c>
      <c r="D446" t="s">
        <v>37</v>
      </c>
      <c r="F446">
        <v>1</v>
      </c>
      <c r="G446">
        <v>1</v>
      </c>
      <c r="K446">
        <v>1</v>
      </c>
      <c r="L446" t="s">
        <v>39</v>
      </c>
      <c r="M446">
        <v>36</v>
      </c>
      <c r="N446" t="s">
        <v>186</v>
      </c>
      <c r="O446" s="2">
        <v>3600</v>
      </c>
      <c r="P446" t="s">
        <v>41</v>
      </c>
      <c r="Q446" t="s">
        <v>42</v>
      </c>
      <c r="R446" t="s">
        <v>43</v>
      </c>
      <c r="S446" t="s">
        <v>44</v>
      </c>
      <c r="T446" t="s">
        <v>44</v>
      </c>
      <c r="U446" t="s">
        <v>44</v>
      </c>
      <c r="V446" t="s">
        <v>45</v>
      </c>
      <c r="W446" t="s">
        <v>46</v>
      </c>
      <c r="X446" t="s">
        <v>297</v>
      </c>
      <c r="Z446">
        <v>200</v>
      </c>
      <c r="AA446" t="s">
        <v>44</v>
      </c>
      <c r="AB446">
        <v>0</v>
      </c>
      <c r="AD446">
        <v>2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hidden="1" spans="1:35">
      <c r="A447" t="s">
        <v>962</v>
      </c>
      <c r="B447" t="s">
        <v>963</v>
      </c>
      <c r="D447" t="s">
        <v>37</v>
      </c>
      <c r="F447">
        <v>1</v>
      </c>
      <c r="G447">
        <v>1</v>
      </c>
      <c r="K447">
        <v>1</v>
      </c>
      <c r="L447" t="s">
        <v>58</v>
      </c>
      <c r="M447">
        <v>36</v>
      </c>
      <c r="N447" t="s">
        <v>59</v>
      </c>
      <c r="O447">
        <v>1</v>
      </c>
      <c r="P447" t="s">
        <v>41</v>
      </c>
      <c r="Q447" t="s">
        <v>42</v>
      </c>
      <c r="R447" t="s">
        <v>43</v>
      </c>
      <c r="S447" t="s">
        <v>44</v>
      </c>
      <c r="T447" t="s">
        <v>44</v>
      </c>
      <c r="U447" t="s">
        <v>44</v>
      </c>
      <c r="V447" t="s">
        <v>45</v>
      </c>
      <c r="W447" t="s">
        <v>55</v>
      </c>
      <c r="X447" t="s">
        <v>297</v>
      </c>
      <c r="Z447">
        <v>200</v>
      </c>
      <c r="AA447" t="s">
        <v>43</v>
      </c>
      <c r="AB447">
        <v>0</v>
      </c>
      <c r="AD447">
        <v>2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hidden="1" spans="1:35">
      <c r="A448" t="s">
        <v>964</v>
      </c>
      <c r="B448" t="s">
        <v>965</v>
      </c>
      <c r="D448" t="s">
        <v>37</v>
      </c>
      <c r="F448">
        <v>1</v>
      </c>
      <c r="G448">
        <v>1</v>
      </c>
      <c r="K448">
        <v>1</v>
      </c>
      <c r="L448" t="s">
        <v>58</v>
      </c>
      <c r="M448">
        <v>36</v>
      </c>
      <c r="N448" t="s">
        <v>59</v>
      </c>
      <c r="O448" s="2">
        <v>3600</v>
      </c>
      <c r="P448" t="s">
        <v>41</v>
      </c>
      <c r="Q448" t="s">
        <v>42</v>
      </c>
      <c r="R448" t="s">
        <v>43</v>
      </c>
      <c r="S448" t="s">
        <v>44</v>
      </c>
      <c r="T448" t="s">
        <v>44</v>
      </c>
      <c r="U448" t="s">
        <v>44</v>
      </c>
      <c r="V448" t="s">
        <v>45</v>
      </c>
      <c r="W448" t="s">
        <v>55</v>
      </c>
      <c r="X448" t="s">
        <v>297</v>
      </c>
      <c r="Z448">
        <v>200</v>
      </c>
      <c r="AA448" t="s">
        <v>44</v>
      </c>
      <c r="AB448">
        <v>0</v>
      </c>
      <c r="AD448">
        <v>2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>
      <c r="A449" t="s">
        <v>966</v>
      </c>
      <c r="B449" t="s">
        <v>965</v>
      </c>
      <c r="D449" t="s">
        <v>37</v>
      </c>
      <c r="F449">
        <v>1</v>
      </c>
      <c r="G449">
        <v>1</v>
      </c>
      <c r="H449" t="s">
        <v>38</v>
      </c>
      <c r="K449">
        <v>12</v>
      </c>
      <c r="L449" t="s">
        <v>58</v>
      </c>
      <c r="M449">
        <v>12</v>
      </c>
      <c r="N449" t="s">
        <v>61</v>
      </c>
      <c r="O449" s="2">
        <v>1200</v>
      </c>
      <c r="P449" t="s">
        <v>41</v>
      </c>
      <c r="Q449" t="s">
        <v>42</v>
      </c>
      <c r="R449" t="s">
        <v>43</v>
      </c>
      <c r="S449" t="s">
        <v>44</v>
      </c>
      <c r="T449" t="s">
        <v>44</v>
      </c>
      <c r="U449" t="s">
        <v>44</v>
      </c>
      <c r="V449" t="s">
        <v>45</v>
      </c>
      <c r="W449" t="s">
        <v>55</v>
      </c>
      <c r="X449" t="s">
        <v>297</v>
      </c>
      <c r="Z449">
        <v>200</v>
      </c>
      <c r="AA449" t="s">
        <v>44</v>
      </c>
      <c r="AB449">
        <v>0</v>
      </c>
      <c r="AD449">
        <v>2</v>
      </c>
      <c r="AE449">
        <v>34.7</v>
      </c>
      <c r="AF449">
        <v>26.5</v>
      </c>
      <c r="AG449">
        <v>17.5</v>
      </c>
      <c r="AH449">
        <v>0.02</v>
      </c>
      <c r="AI449">
        <v>4</v>
      </c>
    </row>
    <row r="450" hidden="1" spans="1:35">
      <c r="A450" t="s">
        <v>967</v>
      </c>
      <c r="B450" t="s">
        <v>968</v>
      </c>
      <c r="D450" t="s">
        <v>37</v>
      </c>
      <c r="F450">
        <v>1</v>
      </c>
      <c r="G450">
        <v>1</v>
      </c>
      <c r="K450">
        <v>1</v>
      </c>
      <c r="L450" t="s">
        <v>53</v>
      </c>
      <c r="M450">
        <v>20</v>
      </c>
      <c r="N450" t="s">
        <v>64</v>
      </c>
      <c r="O450">
        <v>1</v>
      </c>
      <c r="P450" t="s">
        <v>41</v>
      </c>
      <c r="Q450" t="s">
        <v>42</v>
      </c>
      <c r="R450" t="s">
        <v>43</v>
      </c>
      <c r="S450" t="s">
        <v>44</v>
      </c>
      <c r="T450" t="s">
        <v>44</v>
      </c>
      <c r="U450" t="s">
        <v>44</v>
      </c>
      <c r="V450" t="s">
        <v>45</v>
      </c>
      <c r="W450" t="s">
        <v>55</v>
      </c>
      <c r="X450" t="s">
        <v>297</v>
      </c>
      <c r="Z450">
        <v>250</v>
      </c>
      <c r="AA450" t="s">
        <v>44</v>
      </c>
      <c r="AB450">
        <v>0</v>
      </c>
      <c r="AD450">
        <v>2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hidden="1" spans="1:35">
      <c r="A451" t="s">
        <v>969</v>
      </c>
      <c r="B451" t="s">
        <v>970</v>
      </c>
      <c r="D451" t="s">
        <v>37</v>
      </c>
      <c r="F451">
        <v>1</v>
      </c>
      <c r="G451">
        <v>1</v>
      </c>
      <c r="K451">
        <v>1</v>
      </c>
      <c r="L451" t="s">
        <v>53</v>
      </c>
      <c r="M451">
        <v>20</v>
      </c>
      <c r="N451" t="s">
        <v>64</v>
      </c>
      <c r="O451">
        <v>1</v>
      </c>
      <c r="P451" t="s">
        <v>41</v>
      </c>
      <c r="Q451" t="s">
        <v>42</v>
      </c>
      <c r="R451" t="s">
        <v>43</v>
      </c>
      <c r="S451" t="s">
        <v>44</v>
      </c>
      <c r="T451" t="s">
        <v>44</v>
      </c>
      <c r="U451" t="s">
        <v>44</v>
      </c>
      <c r="V451" t="s">
        <v>45</v>
      </c>
      <c r="W451" t="s">
        <v>55</v>
      </c>
      <c r="X451" t="s">
        <v>297</v>
      </c>
      <c r="Z451">
        <v>500</v>
      </c>
      <c r="AA451" t="s">
        <v>43</v>
      </c>
      <c r="AB451">
        <v>0</v>
      </c>
      <c r="AD451">
        <v>2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>
      <c r="A452" t="s">
        <v>971</v>
      </c>
      <c r="B452" t="s">
        <v>970</v>
      </c>
      <c r="D452" t="s">
        <v>37</v>
      </c>
      <c r="F452">
        <v>1</v>
      </c>
      <c r="G452">
        <v>1</v>
      </c>
      <c r="H452" t="s">
        <v>38</v>
      </c>
      <c r="K452">
        <v>26</v>
      </c>
      <c r="L452" t="s">
        <v>53</v>
      </c>
      <c r="M452">
        <v>26</v>
      </c>
      <c r="N452" t="s">
        <v>505</v>
      </c>
      <c r="O452">
        <v>26</v>
      </c>
      <c r="P452" t="s">
        <v>41</v>
      </c>
      <c r="Q452" t="s">
        <v>42</v>
      </c>
      <c r="R452" t="s">
        <v>43</v>
      </c>
      <c r="S452" t="s">
        <v>44</v>
      </c>
      <c r="T452" t="s">
        <v>44</v>
      </c>
      <c r="U452" t="s">
        <v>44</v>
      </c>
      <c r="V452" t="s">
        <v>45</v>
      </c>
      <c r="W452" t="s">
        <v>55</v>
      </c>
      <c r="X452" t="s">
        <v>297</v>
      </c>
      <c r="Z452">
        <v>500</v>
      </c>
      <c r="AA452" t="s">
        <v>44</v>
      </c>
      <c r="AB452">
        <v>0</v>
      </c>
      <c r="AD452">
        <v>2</v>
      </c>
      <c r="AE452">
        <v>53.4</v>
      </c>
      <c r="AF452">
        <v>27.5</v>
      </c>
      <c r="AG452">
        <v>35</v>
      </c>
      <c r="AH452">
        <v>0.05</v>
      </c>
      <c r="AI452">
        <v>14.36</v>
      </c>
    </row>
    <row r="453" hidden="1" spans="1:35">
      <c r="A453" t="s">
        <v>972</v>
      </c>
      <c r="B453" t="s">
        <v>973</v>
      </c>
      <c r="D453" t="s">
        <v>37</v>
      </c>
      <c r="F453">
        <v>1</v>
      </c>
      <c r="G453">
        <v>1</v>
      </c>
      <c r="K453">
        <v>1</v>
      </c>
      <c r="L453" t="s">
        <v>58</v>
      </c>
      <c r="M453">
        <v>36</v>
      </c>
      <c r="N453" t="s">
        <v>59</v>
      </c>
      <c r="O453">
        <v>1</v>
      </c>
      <c r="P453" t="s">
        <v>41</v>
      </c>
      <c r="Q453" t="s">
        <v>42</v>
      </c>
      <c r="R453" t="s">
        <v>43</v>
      </c>
      <c r="S453" t="s">
        <v>44</v>
      </c>
      <c r="T453" t="s">
        <v>44</v>
      </c>
      <c r="U453" t="s">
        <v>44</v>
      </c>
      <c r="V453" t="s">
        <v>45</v>
      </c>
      <c r="W453" t="s">
        <v>55</v>
      </c>
      <c r="X453" t="s">
        <v>297</v>
      </c>
      <c r="Z453">
        <v>200</v>
      </c>
      <c r="AA453" t="s">
        <v>43</v>
      </c>
      <c r="AB453">
        <v>0</v>
      </c>
      <c r="AD453">
        <v>2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hidden="1" spans="1:35">
      <c r="A454" t="s">
        <v>974</v>
      </c>
      <c r="B454" t="s">
        <v>975</v>
      </c>
      <c r="D454" t="s">
        <v>37</v>
      </c>
      <c r="F454">
        <v>1</v>
      </c>
      <c r="G454">
        <v>1</v>
      </c>
      <c r="K454">
        <v>1</v>
      </c>
      <c r="L454" t="s">
        <v>58</v>
      </c>
      <c r="M454">
        <v>36</v>
      </c>
      <c r="N454" t="s">
        <v>59</v>
      </c>
      <c r="O454" s="2">
        <v>3600</v>
      </c>
      <c r="P454" t="s">
        <v>41</v>
      </c>
      <c r="Q454" t="s">
        <v>42</v>
      </c>
      <c r="R454" t="s">
        <v>43</v>
      </c>
      <c r="S454" t="s">
        <v>44</v>
      </c>
      <c r="T454" t="s">
        <v>44</v>
      </c>
      <c r="U454" t="s">
        <v>44</v>
      </c>
      <c r="V454" t="s">
        <v>45</v>
      </c>
      <c r="W454" t="s">
        <v>55</v>
      </c>
      <c r="X454" t="s">
        <v>297</v>
      </c>
      <c r="Z454">
        <v>200</v>
      </c>
      <c r="AA454" t="s">
        <v>44</v>
      </c>
      <c r="AB454">
        <v>0</v>
      </c>
      <c r="AD454">
        <v>2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hidden="1" spans="1:35">
      <c r="A455" t="s">
        <v>976</v>
      </c>
      <c r="B455" t="s">
        <v>975</v>
      </c>
      <c r="D455" t="s">
        <v>37</v>
      </c>
      <c r="F455">
        <v>1</v>
      </c>
      <c r="G455">
        <v>1</v>
      </c>
      <c r="K455">
        <v>1</v>
      </c>
      <c r="L455" t="s">
        <v>58</v>
      </c>
      <c r="M455">
        <v>12</v>
      </c>
      <c r="N455" t="s">
        <v>61</v>
      </c>
      <c r="O455" s="2">
        <v>1200</v>
      </c>
      <c r="P455" t="s">
        <v>41</v>
      </c>
      <c r="Q455" t="s">
        <v>42</v>
      </c>
      <c r="R455" t="s">
        <v>43</v>
      </c>
      <c r="S455" t="s">
        <v>44</v>
      </c>
      <c r="T455" t="s">
        <v>44</v>
      </c>
      <c r="U455" t="s">
        <v>44</v>
      </c>
      <c r="V455" t="s">
        <v>45</v>
      </c>
      <c r="W455" t="s">
        <v>55</v>
      </c>
      <c r="X455" t="s">
        <v>297</v>
      </c>
      <c r="Z455">
        <v>200</v>
      </c>
      <c r="AA455" t="s">
        <v>44</v>
      </c>
      <c r="AB455">
        <v>1</v>
      </c>
      <c r="AD455">
        <v>2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hidden="1" spans="1:35">
      <c r="A456" t="s">
        <v>977</v>
      </c>
      <c r="B456" t="s">
        <v>978</v>
      </c>
      <c r="D456" t="s">
        <v>37</v>
      </c>
      <c r="F456">
        <v>1</v>
      </c>
      <c r="G456">
        <v>1</v>
      </c>
      <c r="K456">
        <v>1</v>
      </c>
      <c r="L456" t="s">
        <v>53</v>
      </c>
      <c r="M456">
        <v>20</v>
      </c>
      <c r="N456" t="s">
        <v>64</v>
      </c>
      <c r="O456">
        <v>1</v>
      </c>
      <c r="P456" t="s">
        <v>41</v>
      </c>
      <c r="Q456" t="s">
        <v>42</v>
      </c>
      <c r="R456" t="s">
        <v>43</v>
      </c>
      <c r="S456" t="s">
        <v>44</v>
      </c>
      <c r="T456" t="s">
        <v>44</v>
      </c>
      <c r="U456" t="s">
        <v>44</v>
      </c>
      <c r="V456" t="s">
        <v>45</v>
      </c>
      <c r="W456" t="s">
        <v>55</v>
      </c>
      <c r="X456" t="s">
        <v>297</v>
      </c>
      <c r="Z456">
        <v>250</v>
      </c>
      <c r="AA456" t="s">
        <v>44</v>
      </c>
      <c r="AB456">
        <v>0</v>
      </c>
      <c r="AD456">
        <v>2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>
      <c r="A457" t="s">
        <v>979</v>
      </c>
      <c r="B457" t="s">
        <v>980</v>
      </c>
      <c r="D457" t="s">
        <v>37</v>
      </c>
      <c r="F457">
        <v>1</v>
      </c>
      <c r="G457">
        <v>1</v>
      </c>
      <c r="H457" t="s">
        <v>38</v>
      </c>
      <c r="K457">
        <v>24</v>
      </c>
      <c r="L457" t="s">
        <v>39</v>
      </c>
      <c r="M457">
        <v>24</v>
      </c>
      <c r="N457" t="s">
        <v>40</v>
      </c>
      <c r="O457">
        <v>1</v>
      </c>
      <c r="P457" t="s">
        <v>41</v>
      </c>
      <c r="Q457" t="s">
        <v>42</v>
      </c>
      <c r="R457" t="s">
        <v>43</v>
      </c>
      <c r="S457" t="s">
        <v>44</v>
      </c>
      <c r="T457" t="s">
        <v>44</v>
      </c>
      <c r="U457" t="s">
        <v>44</v>
      </c>
      <c r="V457" t="s">
        <v>45</v>
      </c>
      <c r="W457" t="s">
        <v>230</v>
      </c>
      <c r="X457" t="s">
        <v>297</v>
      </c>
      <c r="Z457">
        <v>200</v>
      </c>
      <c r="AA457" t="s">
        <v>44</v>
      </c>
      <c r="AB457">
        <v>0</v>
      </c>
      <c r="AD457">
        <v>2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>
      <c r="A458" t="s">
        <v>981</v>
      </c>
      <c r="B458" t="s">
        <v>982</v>
      </c>
      <c r="D458" t="s">
        <v>37</v>
      </c>
      <c r="F458">
        <v>1</v>
      </c>
      <c r="G458">
        <v>1</v>
      </c>
      <c r="H458" t="s">
        <v>38</v>
      </c>
      <c r="K458">
        <v>10</v>
      </c>
      <c r="L458" t="s">
        <v>53</v>
      </c>
      <c r="M458">
        <v>10</v>
      </c>
      <c r="N458" t="s">
        <v>54</v>
      </c>
      <c r="O458" s="2">
        <v>1000</v>
      </c>
      <c r="P458" t="s">
        <v>41</v>
      </c>
      <c r="Q458" t="s">
        <v>42</v>
      </c>
      <c r="R458" t="s">
        <v>43</v>
      </c>
      <c r="S458" t="s">
        <v>44</v>
      </c>
      <c r="T458" t="s">
        <v>44</v>
      </c>
      <c r="U458" t="s">
        <v>44</v>
      </c>
      <c r="V458" t="s">
        <v>45</v>
      </c>
      <c r="W458" t="s">
        <v>151</v>
      </c>
      <c r="X458" t="s">
        <v>297</v>
      </c>
      <c r="Z458">
        <v>120</v>
      </c>
      <c r="AA458" t="s">
        <v>44</v>
      </c>
      <c r="AB458">
        <v>69</v>
      </c>
      <c r="AD458">
        <v>2</v>
      </c>
      <c r="AE458">
        <v>36.7</v>
      </c>
      <c r="AF458">
        <v>24.7</v>
      </c>
      <c r="AG458">
        <v>18.4</v>
      </c>
      <c r="AH458">
        <v>0.02</v>
      </c>
      <c r="AI458">
        <v>1.9</v>
      </c>
    </row>
    <row r="459" spans="1:35">
      <c r="A459" t="s">
        <v>983</v>
      </c>
      <c r="B459" t="s">
        <v>984</v>
      </c>
      <c r="D459" t="s">
        <v>37</v>
      </c>
      <c r="F459">
        <v>1</v>
      </c>
      <c r="G459">
        <v>1</v>
      </c>
      <c r="H459" t="s">
        <v>38</v>
      </c>
      <c r="K459">
        <v>12</v>
      </c>
      <c r="L459" t="s">
        <v>39</v>
      </c>
      <c r="M459">
        <v>12</v>
      </c>
      <c r="N459" t="s">
        <v>476</v>
      </c>
      <c r="O459" s="2">
        <v>1200</v>
      </c>
      <c r="P459" t="s">
        <v>41</v>
      </c>
      <c r="Q459" t="s">
        <v>42</v>
      </c>
      <c r="R459" t="s">
        <v>43</v>
      </c>
      <c r="S459" t="s">
        <v>44</v>
      </c>
      <c r="T459" t="s">
        <v>44</v>
      </c>
      <c r="U459" t="s">
        <v>44</v>
      </c>
      <c r="V459" t="s">
        <v>45</v>
      </c>
      <c r="W459" t="s">
        <v>151</v>
      </c>
      <c r="X459" t="s">
        <v>461</v>
      </c>
      <c r="Z459">
        <v>180</v>
      </c>
      <c r="AA459" t="s">
        <v>44</v>
      </c>
      <c r="AB459">
        <v>298</v>
      </c>
      <c r="AD459">
        <v>2</v>
      </c>
      <c r="AE459">
        <v>39.6</v>
      </c>
      <c r="AF459">
        <v>28.4</v>
      </c>
      <c r="AG459">
        <v>22.1</v>
      </c>
      <c r="AH459">
        <v>0.02</v>
      </c>
      <c r="AI459">
        <v>3.29</v>
      </c>
    </row>
    <row r="460" spans="1:35">
      <c r="A460" t="s">
        <v>985</v>
      </c>
      <c r="B460" t="s">
        <v>986</v>
      </c>
      <c r="D460" t="s">
        <v>37</v>
      </c>
      <c r="F460">
        <v>1</v>
      </c>
      <c r="G460">
        <v>1</v>
      </c>
      <c r="H460" t="s">
        <v>38</v>
      </c>
      <c r="K460">
        <v>12</v>
      </c>
      <c r="L460" t="s">
        <v>39</v>
      </c>
      <c r="M460">
        <v>12</v>
      </c>
      <c r="N460" t="s">
        <v>476</v>
      </c>
      <c r="O460" s="2">
        <v>1200</v>
      </c>
      <c r="P460" t="s">
        <v>41</v>
      </c>
      <c r="Q460" t="s">
        <v>42</v>
      </c>
      <c r="R460" t="s">
        <v>43</v>
      </c>
      <c r="S460" t="s">
        <v>44</v>
      </c>
      <c r="T460" t="s">
        <v>44</v>
      </c>
      <c r="U460" t="s">
        <v>44</v>
      </c>
      <c r="V460" t="s">
        <v>45</v>
      </c>
      <c r="W460" t="s">
        <v>151</v>
      </c>
      <c r="X460" t="s">
        <v>461</v>
      </c>
      <c r="Z460">
        <v>180</v>
      </c>
      <c r="AA460" t="s">
        <v>44</v>
      </c>
      <c r="AB460">
        <v>480</v>
      </c>
      <c r="AD460">
        <v>2</v>
      </c>
      <c r="AE460">
        <v>39.6</v>
      </c>
      <c r="AF460">
        <v>28.4</v>
      </c>
      <c r="AG460">
        <v>25.4</v>
      </c>
      <c r="AH460">
        <v>0.03</v>
      </c>
      <c r="AI460">
        <v>3.4</v>
      </c>
    </row>
    <row r="461" spans="1:35">
      <c r="A461" t="s">
        <v>987</v>
      </c>
      <c r="B461" t="s">
        <v>988</v>
      </c>
      <c r="D461" t="s">
        <v>37</v>
      </c>
      <c r="F461">
        <v>1</v>
      </c>
      <c r="G461">
        <v>1</v>
      </c>
      <c r="H461" t="s">
        <v>38</v>
      </c>
      <c r="K461">
        <v>20</v>
      </c>
      <c r="L461" t="s">
        <v>39</v>
      </c>
      <c r="M461">
        <v>20</v>
      </c>
      <c r="N461" t="s">
        <v>50</v>
      </c>
      <c r="O461" s="2">
        <v>2000</v>
      </c>
      <c r="P461" t="s">
        <v>41</v>
      </c>
      <c r="Q461" t="s">
        <v>42</v>
      </c>
      <c r="R461" t="s">
        <v>43</v>
      </c>
      <c r="S461" t="s">
        <v>44</v>
      </c>
      <c r="T461" t="s">
        <v>44</v>
      </c>
      <c r="U461" t="s">
        <v>44</v>
      </c>
      <c r="V461" t="s">
        <v>45</v>
      </c>
      <c r="W461" t="s">
        <v>46</v>
      </c>
      <c r="X461" t="s">
        <v>297</v>
      </c>
      <c r="Z461">
        <v>50</v>
      </c>
      <c r="AA461" t="s">
        <v>44</v>
      </c>
      <c r="AB461">
        <v>4</v>
      </c>
      <c r="AD461">
        <v>2</v>
      </c>
      <c r="AE461">
        <v>28</v>
      </c>
      <c r="AF461">
        <v>21.4</v>
      </c>
      <c r="AG461">
        <v>27.4</v>
      </c>
      <c r="AH461">
        <v>0.02</v>
      </c>
      <c r="AI461">
        <v>2.09</v>
      </c>
    </row>
    <row r="462" spans="1:35">
      <c r="A462" t="s">
        <v>989</v>
      </c>
      <c r="B462" t="s">
        <v>990</v>
      </c>
      <c r="D462" t="s">
        <v>37</v>
      </c>
      <c r="F462">
        <v>1</v>
      </c>
      <c r="G462">
        <v>1</v>
      </c>
      <c r="H462" t="s">
        <v>38</v>
      </c>
      <c r="K462">
        <v>20</v>
      </c>
      <c r="L462" t="s">
        <v>39</v>
      </c>
      <c r="M462">
        <v>20</v>
      </c>
      <c r="N462" t="s">
        <v>50</v>
      </c>
      <c r="O462" s="2">
        <v>2000</v>
      </c>
      <c r="P462" t="s">
        <v>41</v>
      </c>
      <c r="Q462" t="s">
        <v>42</v>
      </c>
      <c r="R462" t="s">
        <v>43</v>
      </c>
      <c r="S462" t="s">
        <v>44</v>
      </c>
      <c r="T462" t="s">
        <v>44</v>
      </c>
      <c r="U462" t="s">
        <v>44</v>
      </c>
      <c r="V462" t="s">
        <v>45</v>
      </c>
      <c r="W462" t="s">
        <v>46</v>
      </c>
      <c r="X462" t="s">
        <v>297</v>
      </c>
      <c r="Z462">
        <v>50</v>
      </c>
      <c r="AA462" t="s">
        <v>44</v>
      </c>
      <c r="AB462">
        <v>4</v>
      </c>
      <c r="AD462">
        <v>2</v>
      </c>
      <c r="AE462">
        <v>28</v>
      </c>
      <c r="AF462">
        <v>21.4</v>
      </c>
      <c r="AG462">
        <v>27.4</v>
      </c>
      <c r="AH462">
        <v>0.02</v>
      </c>
      <c r="AI462">
        <v>2.09</v>
      </c>
    </row>
    <row r="463" spans="1:35">
      <c r="A463" t="s">
        <v>991</v>
      </c>
      <c r="B463" t="s">
        <v>992</v>
      </c>
      <c r="D463" t="s">
        <v>37</v>
      </c>
      <c r="F463">
        <v>1</v>
      </c>
      <c r="G463">
        <v>1</v>
      </c>
      <c r="H463" t="s">
        <v>38</v>
      </c>
      <c r="K463">
        <v>20</v>
      </c>
      <c r="L463" t="s">
        <v>39</v>
      </c>
      <c r="M463">
        <v>20</v>
      </c>
      <c r="N463" t="s">
        <v>50</v>
      </c>
      <c r="O463" s="2">
        <v>2000</v>
      </c>
      <c r="P463" t="s">
        <v>41</v>
      </c>
      <c r="Q463" t="s">
        <v>42</v>
      </c>
      <c r="R463" t="s">
        <v>43</v>
      </c>
      <c r="S463" t="s">
        <v>44</v>
      </c>
      <c r="T463" t="s">
        <v>44</v>
      </c>
      <c r="U463" t="s">
        <v>44</v>
      </c>
      <c r="V463" t="s">
        <v>45</v>
      </c>
      <c r="W463" t="s">
        <v>46</v>
      </c>
      <c r="X463" t="s">
        <v>297</v>
      </c>
      <c r="Z463">
        <v>50</v>
      </c>
      <c r="AA463" t="s">
        <v>44</v>
      </c>
      <c r="AB463">
        <v>67</v>
      </c>
      <c r="AD463">
        <v>2</v>
      </c>
      <c r="AE463">
        <v>28</v>
      </c>
      <c r="AF463">
        <v>21.4</v>
      </c>
      <c r="AG463">
        <v>27.4</v>
      </c>
      <c r="AH463">
        <v>0.02</v>
      </c>
      <c r="AI463">
        <v>2.09</v>
      </c>
    </row>
    <row r="464" spans="1:35">
      <c r="A464" t="s">
        <v>993</v>
      </c>
      <c r="B464" t="s">
        <v>994</v>
      </c>
      <c r="D464" t="s">
        <v>37</v>
      </c>
      <c r="F464">
        <v>1</v>
      </c>
      <c r="G464">
        <v>1</v>
      </c>
      <c r="H464" t="s">
        <v>38</v>
      </c>
      <c r="K464">
        <v>24</v>
      </c>
      <c r="L464" t="s">
        <v>39</v>
      </c>
      <c r="M464">
        <v>24</v>
      </c>
      <c r="N464" t="s">
        <v>40</v>
      </c>
      <c r="O464">
        <v>1</v>
      </c>
      <c r="P464" t="s">
        <v>41</v>
      </c>
      <c r="Q464" t="s">
        <v>42</v>
      </c>
      <c r="R464" t="s">
        <v>43</v>
      </c>
      <c r="S464" t="s">
        <v>44</v>
      </c>
      <c r="T464" t="s">
        <v>44</v>
      </c>
      <c r="U464" t="s">
        <v>44</v>
      </c>
      <c r="V464" t="s">
        <v>45</v>
      </c>
      <c r="W464" t="s">
        <v>230</v>
      </c>
      <c r="X464" t="s">
        <v>297</v>
      </c>
      <c r="Z464">
        <v>270</v>
      </c>
      <c r="AA464" t="s">
        <v>44</v>
      </c>
      <c r="AB464">
        <v>0</v>
      </c>
      <c r="AD464">
        <v>2</v>
      </c>
      <c r="AE464">
        <v>0</v>
      </c>
      <c r="AF464">
        <v>0</v>
      </c>
      <c r="AG464">
        <v>0</v>
      </c>
      <c r="AH464">
        <v>0</v>
      </c>
      <c r="AI464" s="2">
        <v>6480</v>
      </c>
    </row>
    <row r="465" spans="1:35">
      <c r="A465" t="s">
        <v>995</v>
      </c>
      <c r="B465" t="s">
        <v>996</v>
      </c>
      <c r="D465" t="s">
        <v>37</v>
      </c>
      <c r="F465">
        <v>1</v>
      </c>
      <c r="G465">
        <v>1</v>
      </c>
      <c r="H465" t="s">
        <v>38</v>
      </c>
      <c r="K465">
        <v>24</v>
      </c>
      <c r="L465" t="s">
        <v>39</v>
      </c>
      <c r="M465">
        <v>24</v>
      </c>
      <c r="N465" t="s">
        <v>40</v>
      </c>
      <c r="O465">
        <v>1</v>
      </c>
      <c r="P465" t="s">
        <v>41</v>
      </c>
      <c r="Q465" t="s">
        <v>42</v>
      </c>
      <c r="R465" t="s">
        <v>43</v>
      </c>
      <c r="S465" t="s">
        <v>44</v>
      </c>
      <c r="T465" t="s">
        <v>44</v>
      </c>
      <c r="U465" t="s">
        <v>44</v>
      </c>
      <c r="V465" t="s">
        <v>45</v>
      </c>
      <c r="W465" t="s">
        <v>230</v>
      </c>
      <c r="X465" t="s">
        <v>297</v>
      </c>
      <c r="Z465">
        <v>270</v>
      </c>
      <c r="AA465" t="s">
        <v>44</v>
      </c>
      <c r="AB465">
        <v>0</v>
      </c>
      <c r="AD465">
        <v>2</v>
      </c>
      <c r="AE465">
        <v>0</v>
      </c>
      <c r="AF465">
        <v>0</v>
      </c>
      <c r="AG465">
        <v>0</v>
      </c>
      <c r="AH465">
        <v>0</v>
      </c>
      <c r="AI465" s="2">
        <v>6480</v>
      </c>
    </row>
    <row r="466" hidden="1" spans="1:35">
      <c r="A466" s="1" t="s">
        <v>997</v>
      </c>
      <c r="B466" s="1" t="s">
        <v>998</v>
      </c>
      <c r="D466" s="1" t="s">
        <v>37</v>
      </c>
      <c r="F466" s="1">
        <v>1</v>
      </c>
      <c r="G466" s="1">
        <v>1</v>
      </c>
      <c r="H466" s="1"/>
      <c r="I466" s="1"/>
      <c r="J466" s="1"/>
      <c r="K466" s="1">
        <v>1</v>
      </c>
      <c r="L466" s="1" t="s">
        <v>120</v>
      </c>
      <c r="M466" s="1">
        <v>120</v>
      </c>
      <c r="N466" s="1" t="s">
        <v>229</v>
      </c>
      <c r="O466" s="1">
        <v>1</v>
      </c>
      <c r="P466" s="1" t="s">
        <v>41</v>
      </c>
      <c r="Q466" s="1" t="s">
        <v>42</v>
      </c>
      <c r="R466" s="1" t="s">
        <v>43</v>
      </c>
      <c r="S466" s="1" t="s">
        <v>44</v>
      </c>
      <c r="T466" s="1" t="s">
        <v>44</v>
      </c>
      <c r="U466" s="1" t="s">
        <v>44</v>
      </c>
      <c r="V466" s="1" t="s">
        <v>45</v>
      </c>
      <c r="W466" s="1" t="s">
        <v>46</v>
      </c>
      <c r="X466" s="1" t="s">
        <v>194</v>
      </c>
      <c r="Z466" s="1">
        <v>80</v>
      </c>
      <c r="AA466" s="1" t="s">
        <v>44</v>
      </c>
      <c r="AB466" s="1">
        <v>0</v>
      </c>
      <c r="AD466" s="1">
        <v>2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</row>
    <row r="467" hidden="1" spans="1:35">
      <c r="A467" s="1" t="s">
        <v>999</v>
      </c>
      <c r="B467" s="1" t="s">
        <v>1000</v>
      </c>
      <c r="D467" s="1" t="s">
        <v>37</v>
      </c>
      <c r="F467" s="1">
        <v>1</v>
      </c>
      <c r="G467" s="1">
        <v>1</v>
      </c>
      <c r="K467" s="1">
        <v>1</v>
      </c>
      <c r="L467" s="1" t="s">
        <v>120</v>
      </c>
      <c r="M467" s="1">
        <v>120</v>
      </c>
      <c r="N467" s="1" t="s">
        <v>229</v>
      </c>
      <c r="O467" s="3">
        <v>12000</v>
      </c>
      <c r="P467" s="1" t="s">
        <v>41</v>
      </c>
      <c r="Q467" s="1" t="s">
        <v>42</v>
      </c>
      <c r="R467" s="1" t="s">
        <v>43</v>
      </c>
      <c r="S467" s="1" t="s">
        <v>44</v>
      </c>
      <c r="T467" s="1" t="s">
        <v>44</v>
      </c>
      <c r="U467" s="1" t="s">
        <v>44</v>
      </c>
      <c r="V467" s="1" t="s">
        <v>45</v>
      </c>
      <c r="W467" s="1" t="s">
        <v>151</v>
      </c>
      <c r="X467" s="1" t="s">
        <v>194</v>
      </c>
      <c r="Z467" s="1">
        <v>23</v>
      </c>
      <c r="AA467" s="1" t="s">
        <v>44</v>
      </c>
      <c r="AB467" s="1">
        <v>0</v>
      </c>
      <c r="AD467" s="1">
        <v>2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</row>
    <row r="468" hidden="1" spans="1:35">
      <c r="A468" s="1" t="s">
        <v>1001</v>
      </c>
      <c r="B468" s="1" t="s">
        <v>1002</v>
      </c>
      <c r="D468" s="1" t="s">
        <v>37</v>
      </c>
      <c r="F468" s="1">
        <v>1</v>
      </c>
      <c r="G468" s="1">
        <v>1</v>
      </c>
      <c r="J468" t="str">
        <f>IF(OR(ISNUMBER(SEARCH("2Bks",B468)),ISNUMBER(SEARCH("5Bks",B468))),"RencengBNS",IF(ISNUMBER(SEARCH("1Box",B468)),"BoxBNS"," "))</f>
        <v> </v>
      </c>
      <c r="K468" s="1">
        <v>1</v>
      </c>
      <c r="L468" s="1" t="s">
        <v>120</v>
      </c>
      <c r="M468" s="1">
        <v>24</v>
      </c>
      <c r="N468" s="1" t="s">
        <v>351</v>
      </c>
      <c r="O468" s="1">
        <v>1</v>
      </c>
      <c r="P468" s="1" t="s">
        <v>41</v>
      </c>
      <c r="Q468" s="1" t="s">
        <v>42</v>
      </c>
      <c r="R468" s="1" t="s">
        <v>43</v>
      </c>
      <c r="S468" s="1" t="s">
        <v>44</v>
      </c>
      <c r="T468" s="1" t="s">
        <v>44</v>
      </c>
      <c r="U468" s="1" t="s">
        <v>44</v>
      </c>
      <c r="V468" s="1" t="s">
        <v>45</v>
      </c>
      <c r="W468" s="1" t="s">
        <v>46</v>
      </c>
      <c r="X468" s="1" t="s">
        <v>194</v>
      </c>
      <c r="Z468" s="1">
        <v>250</v>
      </c>
      <c r="AA468" s="1" t="s">
        <v>44</v>
      </c>
      <c r="AB468" s="1">
        <v>0</v>
      </c>
      <c r="AD468" s="1">
        <v>2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</row>
    <row r="469" hidden="1" spans="1:35">
      <c r="A469" s="1" t="s">
        <v>1003</v>
      </c>
      <c r="B469" s="1" t="s">
        <v>1004</v>
      </c>
      <c r="D469" s="1" t="s">
        <v>37</v>
      </c>
      <c r="E469" s="1"/>
      <c r="F469" s="1">
        <v>1</v>
      </c>
      <c r="G469" s="1">
        <v>1</v>
      </c>
      <c r="H469" s="1"/>
      <c r="I469" s="1"/>
      <c r="J469" s="1"/>
      <c r="K469" s="1">
        <v>1</v>
      </c>
      <c r="L469" s="1" t="s">
        <v>120</v>
      </c>
      <c r="M469" s="1">
        <v>10</v>
      </c>
      <c r="N469" s="1" t="s">
        <v>423</v>
      </c>
      <c r="O469" s="3">
        <v>1000</v>
      </c>
      <c r="P469" s="1" t="s">
        <v>41</v>
      </c>
      <c r="Q469" s="1" t="s">
        <v>42</v>
      </c>
      <c r="R469" s="1" t="s">
        <v>43</v>
      </c>
      <c r="S469" s="1" t="s">
        <v>44</v>
      </c>
      <c r="T469" s="1" t="s">
        <v>44</v>
      </c>
      <c r="U469" s="1" t="s">
        <v>44</v>
      </c>
      <c r="V469" s="1" t="s">
        <v>45</v>
      </c>
      <c r="W469" s="1" t="s">
        <v>46</v>
      </c>
      <c r="X469" s="1" t="s">
        <v>396</v>
      </c>
      <c r="Z469" s="1">
        <v>450</v>
      </c>
      <c r="AA469" s="1" t="s">
        <v>44</v>
      </c>
      <c r="AB469" s="1">
        <v>0</v>
      </c>
      <c r="AD469" s="1">
        <v>2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</row>
    <row r="470" spans="1:35">
      <c r="A470" s="1" t="s">
        <v>1005</v>
      </c>
      <c r="B470" s="1" t="s">
        <v>1006</v>
      </c>
      <c r="D470" s="1" t="s">
        <v>37</v>
      </c>
      <c r="E470" s="1"/>
      <c r="F470" s="1">
        <v>1</v>
      </c>
      <c r="G470" s="1">
        <v>1</v>
      </c>
      <c r="H470" s="1" t="s">
        <v>38</v>
      </c>
      <c r="I470" s="1">
        <f>IF(J470="Renceng",(M470/10),(M470/15))</f>
        <v>5</v>
      </c>
      <c r="J470" s="1" t="s">
        <v>149</v>
      </c>
      <c r="K470" s="1">
        <v>50</v>
      </c>
      <c r="L470" s="1" t="s">
        <v>120</v>
      </c>
      <c r="M470" s="1">
        <v>50</v>
      </c>
      <c r="N470" s="1" t="s">
        <v>205</v>
      </c>
      <c r="O470" s="3">
        <v>5000</v>
      </c>
      <c r="P470" s="1" t="s">
        <v>41</v>
      </c>
      <c r="Q470" s="1" t="s">
        <v>42</v>
      </c>
      <c r="R470" s="1" t="s">
        <v>43</v>
      </c>
      <c r="S470" s="1" t="s">
        <v>44</v>
      </c>
      <c r="T470" s="1" t="s">
        <v>44</v>
      </c>
      <c r="U470" s="1" t="s">
        <v>44</v>
      </c>
      <c r="V470" s="1" t="s">
        <v>45</v>
      </c>
      <c r="W470" s="1" t="s">
        <v>46</v>
      </c>
      <c r="X470" s="1" t="s">
        <v>194</v>
      </c>
      <c r="Z470" s="1">
        <v>60</v>
      </c>
      <c r="AA470" s="1" t="s">
        <v>44</v>
      </c>
      <c r="AB470" s="1">
        <v>0</v>
      </c>
      <c r="AD470" s="1">
        <v>2</v>
      </c>
      <c r="AE470" s="1">
        <v>38.6</v>
      </c>
      <c r="AF470" s="1">
        <v>25.6</v>
      </c>
      <c r="AG470" s="1">
        <v>17.8</v>
      </c>
      <c r="AH470" s="1">
        <v>0.02</v>
      </c>
      <c r="AI470" s="1">
        <v>3.55</v>
      </c>
    </row>
    <row r="471" hidden="1" spans="1:35">
      <c r="A471" s="1" t="s">
        <v>1007</v>
      </c>
      <c r="B471" s="1" t="s">
        <v>1008</v>
      </c>
      <c r="D471" s="1" t="s">
        <v>37</v>
      </c>
      <c r="F471" s="1">
        <v>1</v>
      </c>
      <c r="G471" s="1">
        <v>1</v>
      </c>
      <c r="H471" s="1" t="s">
        <v>208</v>
      </c>
      <c r="I471" s="1"/>
      <c r="J471" s="1"/>
      <c r="K471" s="1">
        <v>1</v>
      </c>
      <c r="L471" s="1" t="s">
        <v>208</v>
      </c>
      <c r="M471" s="1" t="s">
        <v>136</v>
      </c>
      <c r="N471" s="1" t="s">
        <v>136</v>
      </c>
      <c r="O471" s="1">
        <v>30</v>
      </c>
      <c r="P471" s="1" t="s">
        <v>41</v>
      </c>
      <c r="Q471" s="1" t="s">
        <v>42</v>
      </c>
      <c r="R471" s="1" t="s">
        <v>43</v>
      </c>
      <c r="S471" s="1" t="s">
        <v>44</v>
      </c>
      <c r="T471" s="1" t="s">
        <v>44</v>
      </c>
      <c r="U471" s="1" t="s">
        <v>44</v>
      </c>
      <c r="V471" s="1" t="s">
        <v>45</v>
      </c>
      <c r="W471" s="1" t="s">
        <v>55</v>
      </c>
      <c r="X471" s="1" t="s">
        <v>297</v>
      </c>
      <c r="Z471" s="1">
        <v>20</v>
      </c>
      <c r="AA471" s="1" t="s">
        <v>44</v>
      </c>
      <c r="AB471" s="1">
        <v>0</v>
      </c>
      <c r="AD471" s="1">
        <v>2</v>
      </c>
      <c r="AE471" s="1">
        <v>0</v>
      </c>
      <c r="AF471" s="1">
        <v>0</v>
      </c>
      <c r="AG471" s="1">
        <v>0</v>
      </c>
      <c r="AH471" s="1">
        <v>0</v>
      </c>
      <c r="AI471" s="1">
        <v>20</v>
      </c>
    </row>
    <row r="472" hidden="1" spans="1:35">
      <c r="A472" t="s">
        <v>1009</v>
      </c>
      <c r="B472" t="s">
        <v>1010</v>
      </c>
      <c r="D472" t="s">
        <v>37</v>
      </c>
      <c r="F472">
        <v>1</v>
      </c>
      <c r="G472">
        <v>1</v>
      </c>
      <c r="K472">
        <v>1</v>
      </c>
      <c r="L472" t="s">
        <v>53</v>
      </c>
      <c r="M472">
        <v>15</v>
      </c>
      <c r="N472" t="s">
        <v>498</v>
      </c>
      <c r="O472" s="2">
        <v>1500</v>
      </c>
      <c r="P472" t="s">
        <v>41</v>
      </c>
      <c r="Q472" t="s">
        <v>42</v>
      </c>
      <c r="R472" t="s">
        <v>43</v>
      </c>
      <c r="S472" t="s">
        <v>44</v>
      </c>
      <c r="T472" t="s">
        <v>44</v>
      </c>
      <c r="U472" t="s">
        <v>44</v>
      </c>
      <c r="V472" t="s">
        <v>45</v>
      </c>
      <c r="W472" t="s">
        <v>46</v>
      </c>
      <c r="X472" t="s">
        <v>396</v>
      </c>
      <c r="Z472">
        <v>360</v>
      </c>
      <c r="AA472" t="s">
        <v>44</v>
      </c>
      <c r="AB472">
        <v>0</v>
      </c>
      <c r="AD472">
        <v>2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>
      <c r="A473" t="s">
        <v>1011</v>
      </c>
      <c r="B473" t="s">
        <v>1012</v>
      </c>
      <c r="D473" t="s">
        <v>37</v>
      </c>
      <c r="F473">
        <v>1</v>
      </c>
      <c r="G473">
        <v>1</v>
      </c>
      <c r="H473" t="s">
        <v>38</v>
      </c>
      <c r="I473" t="str">
        <f>IF(ISNUMBER(SEARCH("Renceng",J473)),(K473/10)," ")</f>
        <v> </v>
      </c>
      <c r="J473" t="str">
        <f>IF(ISNUMBER(SEARCH("Rtg",B473)),"Renceng"," ")</f>
        <v> </v>
      </c>
      <c r="K473">
        <v>15</v>
      </c>
      <c r="L473" t="s">
        <v>53</v>
      </c>
      <c r="M473">
        <v>15</v>
      </c>
      <c r="N473" t="s">
        <v>498</v>
      </c>
      <c r="O473" s="2">
        <v>1500</v>
      </c>
      <c r="P473" t="s">
        <v>41</v>
      </c>
      <c r="Q473" t="s">
        <v>42</v>
      </c>
      <c r="R473" t="s">
        <v>43</v>
      </c>
      <c r="S473" t="s">
        <v>44</v>
      </c>
      <c r="T473" t="s">
        <v>44</v>
      </c>
      <c r="U473" t="s">
        <v>44</v>
      </c>
      <c r="V473" t="s">
        <v>45</v>
      </c>
      <c r="W473" t="s">
        <v>46</v>
      </c>
      <c r="X473" t="s">
        <v>396</v>
      </c>
      <c r="Z473">
        <v>360</v>
      </c>
      <c r="AA473" t="s">
        <v>44</v>
      </c>
      <c r="AB473">
        <v>0</v>
      </c>
      <c r="AD473">
        <v>2</v>
      </c>
      <c r="AE473">
        <v>43.4</v>
      </c>
      <c r="AF473">
        <v>29.4</v>
      </c>
      <c r="AG473">
        <v>26.7</v>
      </c>
      <c r="AH473">
        <v>0.03</v>
      </c>
      <c r="AI473">
        <v>7.03</v>
      </c>
    </row>
    <row r="474" hidden="1" spans="1:35">
      <c r="A474" s="1" t="s">
        <v>1013</v>
      </c>
      <c r="B474" s="1" t="s">
        <v>1014</v>
      </c>
      <c r="D474" s="1" t="s">
        <v>37</v>
      </c>
      <c r="F474" s="1">
        <v>1</v>
      </c>
      <c r="G474" s="1">
        <v>1</v>
      </c>
      <c r="H474" s="1" t="s">
        <v>208</v>
      </c>
      <c r="I474" s="1"/>
      <c r="J474" s="1"/>
      <c r="K474" s="1">
        <v>1</v>
      </c>
      <c r="L474" s="1" t="s">
        <v>208</v>
      </c>
      <c r="M474" s="1" t="s">
        <v>136</v>
      </c>
      <c r="N474" s="1" t="s">
        <v>136</v>
      </c>
      <c r="O474" s="1">
        <v>100</v>
      </c>
      <c r="P474" s="1" t="s">
        <v>41</v>
      </c>
      <c r="Q474" s="1" t="s">
        <v>42</v>
      </c>
      <c r="R474" s="1" t="s">
        <v>43</v>
      </c>
      <c r="S474" s="1" t="s">
        <v>44</v>
      </c>
      <c r="T474" s="1" t="s">
        <v>44</v>
      </c>
      <c r="U474" s="1" t="s">
        <v>44</v>
      </c>
      <c r="V474" s="1"/>
      <c r="W474" s="1"/>
      <c r="X474" s="1"/>
      <c r="Z474" s="1">
        <v>10</v>
      </c>
      <c r="AA474" s="1" t="s">
        <v>44</v>
      </c>
      <c r="AB474" s="1">
        <v>0</v>
      </c>
      <c r="AD474" s="1">
        <v>2</v>
      </c>
      <c r="AE474" s="1">
        <v>0</v>
      </c>
      <c r="AF474" s="1">
        <v>0</v>
      </c>
      <c r="AG474" s="1">
        <v>0</v>
      </c>
      <c r="AH474" s="1">
        <v>0</v>
      </c>
      <c r="AI474" s="1">
        <v>10</v>
      </c>
    </row>
    <row r="475" spans="1:35">
      <c r="A475" s="1" t="s">
        <v>1015</v>
      </c>
      <c r="B475" s="1" t="s">
        <v>1016</v>
      </c>
      <c r="D475" s="1" t="s">
        <v>37</v>
      </c>
      <c r="F475" s="1">
        <v>1</v>
      </c>
      <c r="G475" s="1">
        <v>1</v>
      </c>
      <c r="H475" s="1" t="s">
        <v>38</v>
      </c>
      <c r="I475" s="1">
        <f>IF(J475="Renceng",(M475/10),(M475/15))</f>
        <v>12</v>
      </c>
      <c r="J475" s="1" t="str">
        <f>IF(ISNUMBER(SEARCH("Rtg",B475)),"Renceng"," ")</f>
        <v>Renceng</v>
      </c>
      <c r="K475" s="1">
        <f>M475/I475</f>
        <v>10</v>
      </c>
      <c r="L475" s="1" t="s">
        <v>120</v>
      </c>
      <c r="M475" s="1">
        <v>120</v>
      </c>
      <c r="N475" s="1" t="s">
        <v>229</v>
      </c>
      <c r="O475" s="3">
        <v>12000</v>
      </c>
      <c r="P475" s="1" t="s">
        <v>41</v>
      </c>
      <c r="Q475" s="1" t="s">
        <v>42</v>
      </c>
      <c r="R475" s="1" t="s">
        <v>43</v>
      </c>
      <c r="S475" s="1" t="s">
        <v>44</v>
      </c>
      <c r="T475" s="1" t="s">
        <v>44</v>
      </c>
      <c r="U475" s="1" t="s">
        <v>44</v>
      </c>
      <c r="V475" s="1" t="s">
        <v>45</v>
      </c>
      <c r="W475" s="1" t="s">
        <v>151</v>
      </c>
      <c r="X475" s="1" t="s">
        <v>461</v>
      </c>
      <c r="Z475" s="1">
        <v>25</v>
      </c>
      <c r="AA475" s="1" t="s">
        <v>44</v>
      </c>
      <c r="AB475" s="1">
        <v>0</v>
      </c>
      <c r="AD475" s="1">
        <v>2</v>
      </c>
      <c r="AE475" s="1">
        <v>39.6</v>
      </c>
      <c r="AF475" s="1">
        <v>22</v>
      </c>
      <c r="AG475" s="1">
        <v>21</v>
      </c>
      <c r="AH475" s="1">
        <v>0.02</v>
      </c>
      <c r="AI475" s="1">
        <v>3.23</v>
      </c>
    </row>
    <row r="476" spans="1:35">
      <c r="A476" s="1" t="s">
        <v>1017</v>
      </c>
      <c r="B476" s="1" t="s">
        <v>1018</v>
      </c>
      <c r="D476" s="1" t="s">
        <v>37</v>
      </c>
      <c r="F476" s="1">
        <v>1</v>
      </c>
      <c r="G476" s="1">
        <v>1</v>
      </c>
      <c r="H476" s="1" t="s">
        <v>38</v>
      </c>
      <c r="I476" s="1">
        <f>IF(J476="Renceng",(M476/10),(M476/15))</f>
        <v>25</v>
      </c>
      <c r="J476" s="1" t="str">
        <f>IF(ISNUMBER(SEARCH("Rtg",B476)),"Renceng"," ")</f>
        <v>Renceng</v>
      </c>
      <c r="K476" s="1">
        <f>M476/I476</f>
        <v>10</v>
      </c>
      <c r="L476" s="1" t="s">
        <v>120</v>
      </c>
      <c r="M476" s="1">
        <v>250</v>
      </c>
      <c r="N476" s="1" t="s">
        <v>150</v>
      </c>
      <c r="O476" s="3">
        <v>25000</v>
      </c>
      <c r="P476" s="1" t="s">
        <v>41</v>
      </c>
      <c r="Q476" s="1" t="s">
        <v>42</v>
      </c>
      <c r="R476" s="1" t="s">
        <v>43</v>
      </c>
      <c r="S476" s="1" t="s">
        <v>44</v>
      </c>
      <c r="T476" s="1" t="s">
        <v>44</v>
      </c>
      <c r="U476" s="1" t="s">
        <v>44</v>
      </c>
      <c r="V476" s="1" t="s">
        <v>45</v>
      </c>
      <c r="W476" s="1" t="s">
        <v>151</v>
      </c>
      <c r="X476" s="1" t="s">
        <v>461</v>
      </c>
      <c r="Z476" s="1">
        <v>20</v>
      </c>
      <c r="AA476" s="1" t="s">
        <v>44</v>
      </c>
      <c r="AB476" s="1">
        <v>0</v>
      </c>
      <c r="AD476" s="1">
        <v>2</v>
      </c>
      <c r="AE476" s="1">
        <v>30.6</v>
      </c>
      <c r="AF476" s="1">
        <v>23</v>
      </c>
      <c r="AG476" s="1">
        <v>18</v>
      </c>
      <c r="AH476" s="1">
        <v>0.01</v>
      </c>
      <c r="AI476" s="1">
        <v>1.71</v>
      </c>
    </row>
    <row r="477" spans="1:35">
      <c r="A477" s="1" t="s">
        <v>1019</v>
      </c>
      <c r="B477" s="1" t="s">
        <v>1020</v>
      </c>
      <c r="D477" s="1" t="s">
        <v>37</v>
      </c>
      <c r="F477" s="1">
        <v>1</v>
      </c>
      <c r="G477" s="1">
        <v>1</v>
      </c>
      <c r="H477" s="1" t="s">
        <v>38</v>
      </c>
      <c r="I477" s="1">
        <f>IF(J477="Renceng",(M477/10),(M477/15))</f>
        <v>25</v>
      </c>
      <c r="J477" s="1" t="str">
        <f>IF(ISNUMBER(SEARCH("Rtg",B477)),"Renceng"," ")</f>
        <v>Renceng</v>
      </c>
      <c r="K477" s="1">
        <f>M477/I477</f>
        <v>10</v>
      </c>
      <c r="L477" s="1" t="s">
        <v>120</v>
      </c>
      <c r="M477" s="1">
        <v>250</v>
      </c>
      <c r="N477" s="1" t="s">
        <v>150</v>
      </c>
      <c r="O477" s="3">
        <v>25000</v>
      </c>
      <c r="P477" s="1" t="s">
        <v>41</v>
      </c>
      <c r="Q477" s="1" t="s">
        <v>42</v>
      </c>
      <c r="R477" s="1" t="s">
        <v>43</v>
      </c>
      <c r="S477" s="1" t="s">
        <v>44</v>
      </c>
      <c r="T477" s="1" t="s">
        <v>44</v>
      </c>
      <c r="U477" s="1" t="s">
        <v>44</v>
      </c>
      <c r="V477" s="1" t="s">
        <v>45</v>
      </c>
      <c r="W477" s="1" t="s">
        <v>151</v>
      </c>
      <c r="X477" s="1" t="s">
        <v>461</v>
      </c>
      <c r="Z477" s="1">
        <v>20</v>
      </c>
      <c r="AA477" s="1" t="s">
        <v>44</v>
      </c>
      <c r="AB477" s="1">
        <v>0</v>
      </c>
      <c r="AD477" s="1">
        <v>2</v>
      </c>
      <c r="AE477" s="1">
        <v>30.5</v>
      </c>
      <c r="AF477" s="1">
        <v>23.5</v>
      </c>
      <c r="AG477" s="1">
        <v>18</v>
      </c>
      <c r="AH477" s="1">
        <v>0.01</v>
      </c>
      <c r="AI477" s="1">
        <v>1.75</v>
      </c>
    </row>
    <row r="478" hidden="1" spans="1:35">
      <c r="A478" t="s">
        <v>1021</v>
      </c>
      <c r="B478" t="s">
        <v>1022</v>
      </c>
      <c r="D478" t="s">
        <v>37</v>
      </c>
      <c r="F478">
        <v>1</v>
      </c>
      <c r="G478">
        <v>1</v>
      </c>
      <c r="K478">
        <v>1</v>
      </c>
      <c r="L478" t="s">
        <v>53</v>
      </c>
      <c r="M478">
        <v>12</v>
      </c>
      <c r="N478" t="s">
        <v>216</v>
      </c>
      <c r="O478" s="2">
        <v>1200</v>
      </c>
      <c r="P478" t="s">
        <v>41</v>
      </c>
      <c r="Q478" t="s">
        <v>42</v>
      </c>
      <c r="R478" t="s">
        <v>43</v>
      </c>
      <c r="S478" t="s">
        <v>44</v>
      </c>
      <c r="T478" t="s">
        <v>44</v>
      </c>
      <c r="U478" t="s">
        <v>44</v>
      </c>
      <c r="V478" t="s">
        <v>45</v>
      </c>
      <c r="W478" t="s">
        <v>230</v>
      </c>
      <c r="X478" t="s">
        <v>396</v>
      </c>
      <c r="Z478">
        <v>250</v>
      </c>
      <c r="AA478" t="s">
        <v>44</v>
      </c>
      <c r="AB478">
        <v>0</v>
      </c>
      <c r="AD478">
        <v>2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>
      <c r="A479" s="1" t="s">
        <v>1023</v>
      </c>
      <c r="B479" s="1" t="s">
        <v>1024</v>
      </c>
      <c r="D479" s="1" t="s">
        <v>37</v>
      </c>
      <c r="F479" s="1">
        <v>1</v>
      </c>
      <c r="G479" s="1">
        <v>1</v>
      </c>
      <c r="H479" s="1" t="s">
        <v>38</v>
      </c>
      <c r="I479" s="1">
        <f>IF(J479="Renceng",(M479/10),(M479/15))</f>
        <v>25</v>
      </c>
      <c r="J479" s="1" t="str">
        <f>IF(ISNUMBER(SEARCH("Rtg",B479)),"Renceng"," ")</f>
        <v>Renceng</v>
      </c>
      <c r="K479" s="1">
        <f>M479/I479</f>
        <v>10</v>
      </c>
      <c r="L479" s="1" t="s">
        <v>120</v>
      </c>
      <c r="M479" s="1">
        <v>250</v>
      </c>
      <c r="N479" s="1" t="s">
        <v>150</v>
      </c>
      <c r="O479" s="3">
        <v>25000</v>
      </c>
      <c r="P479" s="1" t="s">
        <v>41</v>
      </c>
      <c r="Q479" s="1" t="s">
        <v>42</v>
      </c>
      <c r="R479" s="1" t="s">
        <v>43</v>
      </c>
      <c r="S479" s="1" t="s">
        <v>44</v>
      </c>
      <c r="T479" s="1" t="s">
        <v>44</v>
      </c>
      <c r="U479" s="1" t="s">
        <v>44</v>
      </c>
      <c r="V479" s="1" t="s">
        <v>45</v>
      </c>
      <c r="W479" s="1" t="s">
        <v>151</v>
      </c>
      <c r="X479" s="1" t="s">
        <v>461</v>
      </c>
      <c r="Z479" s="1">
        <v>20</v>
      </c>
      <c r="AA479" s="1" t="s">
        <v>44</v>
      </c>
      <c r="AB479" s="1">
        <v>0</v>
      </c>
      <c r="AD479" s="1">
        <v>2</v>
      </c>
      <c r="AE479" s="1">
        <v>48.7</v>
      </c>
      <c r="AF479" s="1">
        <v>27.6</v>
      </c>
      <c r="AG479" s="1">
        <v>28</v>
      </c>
      <c r="AH479" s="1">
        <v>0.04</v>
      </c>
      <c r="AI479" s="1">
        <v>7.39</v>
      </c>
    </row>
    <row r="480" spans="1:35">
      <c r="A480" s="1" t="s">
        <v>1025</v>
      </c>
      <c r="B480" s="1" t="s">
        <v>1026</v>
      </c>
      <c r="D480" s="1" t="s">
        <v>37</v>
      </c>
      <c r="F480" s="1">
        <v>1</v>
      </c>
      <c r="G480" s="1">
        <v>1</v>
      </c>
      <c r="H480" s="1" t="s">
        <v>38</v>
      </c>
      <c r="I480" s="1">
        <f>IF(J480="Renceng",(M480/10),(M480/15))</f>
        <v>25</v>
      </c>
      <c r="J480" s="1" t="str">
        <f>IF(ISNUMBER(SEARCH("Rtg",B480)),"Renceng"," ")</f>
        <v>Renceng</v>
      </c>
      <c r="K480" s="1">
        <f>M480/I480</f>
        <v>10</v>
      </c>
      <c r="L480" s="1" t="s">
        <v>120</v>
      </c>
      <c r="M480" s="1">
        <v>250</v>
      </c>
      <c r="N480" s="1" t="s">
        <v>150</v>
      </c>
      <c r="O480" s="3">
        <v>25000</v>
      </c>
      <c r="P480" s="1" t="s">
        <v>41</v>
      </c>
      <c r="Q480" s="1" t="s">
        <v>42</v>
      </c>
      <c r="R480" s="1" t="s">
        <v>43</v>
      </c>
      <c r="S480" s="1" t="s">
        <v>44</v>
      </c>
      <c r="T480" s="1" t="s">
        <v>44</v>
      </c>
      <c r="U480" s="1" t="s">
        <v>44</v>
      </c>
      <c r="V480" s="1" t="s">
        <v>45</v>
      </c>
      <c r="W480" s="1" t="s">
        <v>151</v>
      </c>
      <c r="X480" s="1" t="s">
        <v>461</v>
      </c>
      <c r="Z480" s="1">
        <v>20</v>
      </c>
      <c r="AA480" s="1" t="s">
        <v>44</v>
      </c>
      <c r="AB480" s="1">
        <v>0</v>
      </c>
      <c r="AD480" s="1">
        <v>2</v>
      </c>
      <c r="AE480" s="1">
        <v>31.1</v>
      </c>
      <c r="AF480" s="1">
        <v>30.4</v>
      </c>
      <c r="AG480" s="1">
        <v>25</v>
      </c>
      <c r="AH480" s="1">
        <v>0.02</v>
      </c>
      <c r="AI480" s="1">
        <v>5.83</v>
      </c>
    </row>
    <row r="481" spans="1:35">
      <c r="A481" s="1" t="s">
        <v>1027</v>
      </c>
      <c r="B481" s="1" t="s">
        <v>1028</v>
      </c>
      <c r="D481" s="1" t="s">
        <v>37</v>
      </c>
      <c r="F481" s="1">
        <v>1</v>
      </c>
      <c r="G481" s="1">
        <v>1</v>
      </c>
      <c r="H481" s="1" t="s">
        <v>38</v>
      </c>
      <c r="I481" s="1" t="str">
        <f>IF(ISNUMBER(SEARCH("Renceng",J481)),(K481/10)," ")</f>
        <v> </v>
      </c>
      <c r="J481" s="1" t="str">
        <f>IF(ISNUMBER(SEARCH("Rtg",B481)),"Renceng"," ")</f>
        <v> </v>
      </c>
      <c r="K481" s="1">
        <v>20</v>
      </c>
      <c r="L481" s="1" t="s">
        <v>120</v>
      </c>
      <c r="M481" s="1">
        <v>20</v>
      </c>
      <c r="N481" s="1" t="s">
        <v>223</v>
      </c>
      <c r="O481" s="3">
        <v>2000</v>
      </c>
      <c r="P481" s="1" t="s">
        <v>41</v>
      </c>
      <c r="Q481" s="1" t="s">
        <v>42</v>
      </c>
      <c r="R481" s="1" t="s">
        <v>43</v>
      </c>
      <c r="S481" s="1" t="s">
        <v>44</v>
      </c>
      <c r="T481" s="1" t="s">
        <v>44</v>
      </c>
      <c r="U481" s="1" t="s">
        <v>44</v>
      </c>
      <c r="V481" s="1" t="s">
        <v>45</v>
      </c>
      <c r="W481" s="1" t="s">
        <v>46</v>
      </c>
      <c r="X481" s="1" t="s">
        <v>396</v>
      </c>
      <c r="Z481" s="1">
        <v>185</v>
      </c>
      <c r="AA481" s="1" t="s">
        <v>44</v>
      </c>
      <c r="AB481" s="1">
        <v>0</v>
      </c>
      <c r="AD481" s="1">
        <v>2</v>
      </c>
      <c r="AE481" s="1">
        <v>41</v>
      </c>
      <c r="AF481" s="1">
        <v>23.7</v>
      </c>
      <c r="AG481" s="1">
        <v>20</v>
      </c>
      <c r="AH481" s="1">
        <v>0.02</v>
      </c>
      <c r="AI481" s="1">
        <v>5.5</v>
      </c>
    </row>
    <row r="482" hidden="1" spans="1:35">
      <c r="A482" t="s">
        <v>1029</v>
      </c>
      <c r="B482" t="s">
        <v>1030</v>
      </c>
      <c r="D482" t="s">
        <v>37</v>
      </c>
      <c r="F482">
        <v>1</v>
      </c>
      <c r="G482">
        <v>1</v>
      </c>
      <c r="K482">
        <v>1</v>
      </c>
      <c r="L482" t="s">
        <v>53</v>
      </c>
      <c r="M482">
        <v>12</v>
      </c>
      <c r="N482" t="s">
        <v>216</v>
      </c>
      <c r="O482" s="2">
        <v>1200</v>
      </c>
      <c r="P482" t="s">
        <v>41</v>
      </c>
      <c r="Q482" t="s">
        <v>42</v>
      </c>
      <c r="R482" t="s">
        <v>43</v>
      </c>
      <c r="S482" t="s">
        <v>44</v>
      </c>
      <c r="T482" t="s">
        <v>44</v>
      </c>
      <c r="U482" t="s">
        <v>44</v>
      </c>
      <c r="V482" t="s">
        <v>45</v>
      </c>
      <c r="W482" t="s">
        <v>230</v>
      </c>
      <c r="X482" t="s">
        <v>396</v>
      </c>
      <c r="Z482">
        <v>270</v>
      </c>
      <c r="AA482" t="s">
        <v>44</v>
      </c>
      <c r="AB482">
        <v>0</v>
      </c>
      <c r="AD482">
        <v>2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>
      <c r="A483" s="1" t="s">
        <v>1031</v>
      </c>
      <c r="B483" s="1" t="s">
        <v>1032</v>
      </c>
      <c r="D483" s="1" t="s">
        <v>37</v>
      </c>
      <c r="F483" s="1">
        <v>1</v>
      </c>
      <c r="G483" s="1">
        <v>1</v>
      </c>
      <c r="H483" s="1" t="s">
        <v>38</v>
      </c>
      <c r="I483" s="1">
        <f>IF(J483="Renceng",(M483/10),(M483/15))</f>
        <v>5</v>
      </c>
      <c r="J483" s="1" t="s">
        <v>149</v>
      </c>
      <c r="K483" s="1">
        <v>50</v>
      </c>
      <c r="L483" s="1" t="s">
        <v>120</v>
      </c>
      <c r="M483" s="1">
        <v>50</v>
      </c>
      <c r="N483" s="1" t="s">
        <v>205</v>
      </c>
      <c r="O483" s="3">
        <v>5000</v>
      </c>
      <c r="P483" s="1" t="s">
        <v>41</v>
      </c>
      <c r="Q483" s="1" t="s">
        <v>42</v>
      </c>
      <c r="R483" s="1" t="s">
        <v>43</v>
      </c>
      <c r="S483" s="1" t="s">
        <v>44</v>
      </c>
      <c r="T483" s="1" t="s">
        <v>44</v>
      </c>
      <c r="U483" s="1" t="s">
        <v>44</v>
      </c>
      <c r="V483" s="1" t="s">
        <v>45</v>
      </c>
      <c r="W483" s="1" t="s">
        <v>46</v>
      </c>
      <c r="X483" s="1" t="s">
        <v>430</v>
      </c>
      <c r="Z483" s="1">
        <v>60</v>
      </c>
      <c r="AA483" s="1" t="s">
        <v>44</v>
      </c>
      <c r="AB483" s="1">
        <v>0</v>
      </c>
      <c r="AD483" s="1">
        <v>2</v>
      </c>
      <c r="AE483" s="1">
        <v>30.6</v>
      </c>
      <c r="AF483" s="1">
        <v>23</v>
      </c>
      <c r="AG483" s="1">
        <v>18</v>
      </c>
      <c r="AH483" s="1">
        <v>0.01</v>
      </c>
      <c r="AI483" s="1">
        <v>2.23</v>
      </c>
    </row>
    <row r="484" hidden="1" spans="1:35">
      <c r="A484" s="1" t="s">
        <v>1033</v>
      </c>
      <c r="B484" s="1" t="s">
        <v>1034</v>
      </c>
      <c r="D484" s="1" t="s">
        <v>37</v>
      </c>
      <c r="F484" s="1">
        <v>1</v>
      </c>
      <c r="G484" s="1">
        <v>1</v>
      </c>
      <c r="H484" s="1"/>
      <c r="I484" s="1"/>
      <c r="J484" s="1"/>
      <c r="K484" s="1">
        <v>1</v>
      </c>
      <c r="L484" s="1" t="s">
        <v>120</v>
      </c>
      <c r="M484" s="1">
        <v>50</v>
      </c>
      <c r="N484" s="1" t="s">
        <v>205</v>
      </c>
      <c r="O484" s="3">
        <v>5000</v>
      </c>
      <c r="P484" s="1" t="s">
        <v>41</v>
      </c>
      <c r="Q484" s="1" t="s">
        <v>42</v>
      </c>
      <c r="R484" s="1" t="s">
        <v>43</v>
      </c>
      <c r="S484" s="1" t="s">
        <v>44</v>
      </c>
      <c r="T484" s="1" t="s">
        <v>44</v>
      </c>
      <c r="U484" s="1" t="s">
        <v>44</v>
      </c>
      <c r="V484" s="1" t="s">
        <v>45</v>
      </c>
      <c r="W484" s="1" t="s">
        <v>46</v>
      </c>
      <c r="X484" s="1" t="s">
        <v>194</v>
      </c>
      <c r="Z484" s="1">
        <v>65</v>
      </c>
      <c r="AA484" s="1" t="s">
        <v>44</v>
      </c>
      <c r="AB484" s="1">
        <v>0</v>
      </c>
      <c r="AD484" s="1">
        <v>2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</row>
    <row r="485" hidden="1" spans="1:35">
      <c r="A485" s="1" t="s">
        <v>1035</v>
      </c>
      <c r="B485" s="1" t="s">
        <v>1036</v>
      </c>
      <c r="D485" s="1" t="s">
        <v>37</v>
      </c>
      <c r="E485" s="1"/>
      <c r="F485" s="1">
        <v>1</v>
      </c>
      <c r="G485" s="1">
        <v>1</v>
      </c>
      <c r="H485" s="1"/>
      <c r="I485" s="1"/>
      <c r="J485" s="1"/>
      <c r="K485" s="1">
        <v>1</v>
      </c>
      <c r="L485" s="1" t="s">
        <v>120</v>
      </c>
      <c r="M485" s="1">
        <v>20</v>
      </c>
      <c r="N485" s="1" t="s">
        <v>223</v>
      </c>
      <c r="O485" s="3">
        <v>2000</v>
      </c>
      <c r="P485" s="1" t="s">
        <v>41</v>
      </c>
      <c r="Q485" s="1" t="s">
        <v>42</v>
      </c>
      <c r="R485" s="1" t="s">
        <v>43</v>
      </c>
      <c r="S485" s="1" t="s">
        <v>44</v>
      </c>
      <c r="T485" s="1" t="s">
        <v>44</v>
      </c>
      <c r="U485" s="1" t="s">
        <v>44</v>
      </c>
      <c r="V485" s="1" t="s">
        <v>45</v>
      </c>
      <c r="W485" s="1" t="s">
        <v>46</v>
      </c>
      <c r="X485" s="1" t="s">
        <v>194</v>
      </c>
      <c r="Z485" s="1">
        <v>165</v>
      </c>
      <c r="AA485" s="1" t="s">
        <v>44</v>
      </c>
      <c r="AB485" s="1">
        <v>0</v>
      </c>
      <c r="AD485" s="1">
        <v>2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</row>
    <row r="486" spans="1:35">
      <c r="A486" s="1" t="s">
        <v>1037</v>
      </c>
      <c r="B486" s="1" t="s">
        <v>362</v>
      </c>
      <c r="D486" s="1" t="s">
        <v>37</v>
      </c>
      <c r="F486" s="1">
        <v>1</v>
      </c>
      <c r="G486" s="1">
        <v>1</v>
      </c>
      <c r="H486" s="1" t="s">
        <v>38</v>
      </c>
      <c r="I486" t="str">
        <f>IF(ISNUMBER(SEARCH("Renceng",J486)),(K486/10)," ")</f>
        <v> </v>
      </c>
      <c r="J486" t="str">
        <f>IF(ISNUMBER(SEARCH("Rtg",B486)),"Renceng"," ")</f>
        <v> </v>
      </c>
      <c r="K486" s="1">
        <v>9</v>
      </c>
      <c r="L486" s="1" t="s">
        <v>120</v>
      </c>
      <c r="M486" s="1">
        <v>9</v>
      </c>
      <c r="N486" s="1" t="s">
        <v>226</v>
      </c>
      <c r="O486" s="1">
        <v>900</v>
      </c>
      <c r="P486" s="1" t="s">
        <v>41</v>
      </c>
      <c r="Q486" s="1" t="s">
        <v>42</v>
      </c>
      <c r="R486" s="1" t="s">
        <v>43</v>
      </c>
      <c r="S486" s="1" t="s">
        <v>44</v>
      </c>
      <c r="T486" s="1" t="s">
        <v>44</v>
      </c>
      <c r="U486" s="1" t="s">
        <v>44</v>
      </c>
      <c r="V486" s="1" t="s">
        <v>45</v>
      </c>
      <c r="W486" s="1" t="s">
        <v>46</v>
      </c>
      <c r="X486" s="1" t="s">
        <v>194</v>
      </c>
      <c r="Z486" s="1">
        <v>380</v>
      </c>
      <c r="AA486" s="1" t="s">
        <v>43</v>
      </c>
      <c r="AB486" s="1">
        <v>0</v>
      </c>
      <c r="AD486" s="1">
        <v>2</v>
      </c>
      <c r="AE486" s="1">
        <v>32.6</v>
      </c>
      <c r="AF486" s="1">
        <v>16</v>
      </c>
      <c r="AG486" s="1">
        <v>26.1</v>
      </c>
      <c r="AH486" s="1">
        <v>0.01</v>
      </c>
      <c r="AI486" s="1">
        <v>3.67</v>
      </c>
    </row>
    <row r="487" hidden="1" spans="1:35">
      <c r="A487" s="1" t="s">
        <v>1038</v>
      </c>
      <c r="B487" s="1" t="s">
        <v>1039</v>
      </c>
      <c r="D487" s="1" t="s">
        <v>37</v>
      </c>
      <c r="F487" s="1">
        <v>1</v>
      </c>
      <c r="G487" s="1">
        <v>1</v>
      </c>
      <c r="H487" s="1"/>
      <c r="I487" s="1"/>
      <c r="J487" s="1"/>
      <c r="K487" s="1">
        <v>1</v>
      </c>
      <c r="L487" s="1" t="s">
        <v>120</v>
      </c>
      <c r="M487" s="1">
        <v>50</v>
      </c>
      <c r="N487" s="1" t="s">
        <v>205</v>
      </c>
      <c r="O487" s="3">
        <v>5000</v>
      </c>
      <c r="P487" s="1" t="s">
        <v>41</v>
      </c>
      <c r="Q487" s="1" t="s">
        <v>42</v>
      </c>
      <c r="R487" s="1" t="s">
        <v>43</v>
      </c>
      <c r="S487" s="1" t="s">
        <v>44</v>
      </c>
      <c r="T487" s="1" t="s">
        <v>44</v>
      </c>
      <c r="U487" s="1" t="s">
        <v>44</v>
      </c>
      <c r="V487" s="1" t="s">
        <v>45</v>
      </c>
      <c r="W487" s="1" t="s">
        <v>46</v>
      </c>
      <c r="X487" s="1" t="s">
        <v>194</v>
      </c>
      <c r="Z487" s="1">
        <v>60</v>
      </c>
      <c r="AA487" s="1" t="s">
        <v>44</v>
      </c>
      <c r="AB487" s="1">
        <v>0</v>
      </c>
      <c r="AD487" s="1">
        <v>2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</row>
    <row r="488" hidden="1" spans="1:35">
      <c r="A488" s="1" t="s">
        <v>1040</v>
      </c>
      <c r="B488" s="1" t="s">
        <v>1041</v>
      </c>
      <c r="D488" s="1" t="s">
        <v>37</v>
      </c>
      <c r="F488" s="1">
        <v>1</v>
      </c>
      <c r="G488" s="1">
        <v>1</v>
      </c>
      <c r="H488" s="1"/>
      <c r="K488" s="1">
        <v>1</v>
      </c>
      <c r="L488" s="1" t="s">
        <v>120</v>
      </c>
      <c r="M488" s="1">
        <v>24</v>
      </c>
      <c r="N488" s="1" t="s">
        <v>351</v>
      </c>
      <c r="O488" s="3">
        <v>2400</v>
      </c>
      <c r="P488" s="1" t="s">
        <v>41</v>
      </c>
      <c r="Q488" s="1" t="s">
        <v>42</v>
      </c>
      <c r="R488" s="1" t="s">
        <v>43</v>
      </c>
      <c r="S488" s="1" t="s">
        <v>44</v>
      </c>
      <c r="T488" s="1" t="s">
        <v>44</v>
      </c>
      <c r="U488" s="1" t="s">
        <v>44</v>
      </c>
      <c r="V488" s="1" t="s">
        <v>45</v>
      </c>
      <c r="W488" s="1" t="s">
        <v>46</v>
      </c>
      <c r="X488" s="1" t="s">
        <v>194</v>
      </c>
      <c r="Z488" s="1">
        <v>250</v>
      </c>
      <c r="AA488" s="1" t="s">
        <v>44</v>
      </c>
      <c r="AB488" s="1">
        <v>0</v>
      </c>
      <c r="AD488" s="1">
        <v>2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</row>
    <row r="489" hidden="1" spans="1:35">
      <c r="A489" s="1" t="s">
        <v>1042</v>
      </c>
      <c r="B489" s="1" t="s">
        <v>1043</v>
      </c>
      <c r="D489" s="1" t="s">
        <v>37</v>
      </c>
      <c r="F489" s="1">
        <v>1</v>
      </c>
      <c r="G489" s="1">
        <v>1</v>
      </c>
      <c r="H489" s="1"/>
      <c r="I489" s="1"/>
      <c r="J489" s="1"/>
      <c r="K489" s="1">
        <v>1</v>
      </c>
      <c r="L489" s="1" t="s">
        <v>120</v>
      </c>
      <c r="M489" s="1">
        <v>24</v>
      </c>
      <c r="N489" s="1" t="s">
        <v>351</v>
      </c>
      <c r="O489" s="3">
        <v>2400</v>
      </c>
      <c r="P489" s="1" t="s">
        <v>41</v>
      </c>
      <c r="Q489" s="1" t="s">
        <v>42</v>
      </c>
      <c r="R489" s="1" t="s">
        <v>43</v>
      </c>
      <c r="S489" s="1" t="s">
        <v>44</v>
      </c>
      <c r="T489" s="1" t="s">
        <v>44</v>
      </c>
      <c r="U489" s="1" t="s">
        <v>44</v>
      </c>
      <c r="V489" s="1" t="s">
        <v>45</v>
      </c>
      <c r="W489" s="1" t="s">
        <v>46</v>
      </c>
      <c r="X489" s="1" t="s">
        <v>430</v>
      </c>
      <c r="Z489" s="1">
        <v>200</v>
      </c>
      <c r="AA489" s="1" t="s">
        <v>44</v>
      </c>
      <c r="AB489" s="1">
        <v>0</v>
      </c>
      <c r="AD489" s="1">
        <v>2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</row>
    <row r="490" hidden="1" spans="1:35">
      <c r="A490" s="1" t="s">
        <v>1044</v>
      </c>
      <c r="B490" s="1" t="s">
        <v>1045</v>
      </c>
      <c r="D490" s="1" t="s">
        <v>37</v>
      </c>
      <c r="F490" s="1">
        <v>1</v>
      </c>
      <c r="G490" s="1">
        <v>1</v>
      </c>
      <c r="H490" s="1"/>
      <c r="K490" s="1">
        <v>1</v>
      </c>
      <c r="L490" s="1" t="s">
        <v>120</v>
      </c>
      <c r="M490" s="1">
        <v>50</v>
      </c>
      <c r="N490" s="1" t="s">
        <v>205</v>
      </c>
      <c r="O490" s="1">
        <v>1</v>
      </c>
      <c r="P490" s="1" t="s">
        <v>41</v>
      </c>
      <c r="Q490" s="1" t="s">
        <v>42</v>
      </c>
      <c r="R490" s="1" t="s">
        <v>43</v>
      </c>
      <c r="S490" s="1" t="s">
        <v>44</v>
      </c>
      <c r="T490" s="1" t="s">
        <v>44</v>
      </c>
      <c r="U490" s="1" t="s">
        <v>44</v>
      </c>
      <c r="V490" s="1" t="s">
        <v>45</v>
      </c>
      <c r="W490" s="1" t="s">
        <v>46</v>
      </c>
      <c r="X490" s="1" t="s">
        <v>194</v>
      </c>
      <c r="Z490" s="1">
        <v>60</v>
      </c>
      <c r="AA490" s="1" t="s">
        <v>44</v>
      </c>
      <c r="AB490" s="1">
        <v>0</v>
      </c>
      <c r="AD490" s="1">
        <v>2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</row>
    <row r="491" spans="1:35">
      <c r="A491" s="1" t="s">
        <v>1046</v>
      </c>
      <c r="B491" s="1" t="s">
        <v>1047</v>
      </c>
      <c r="D491" s="1" t="s">
        <v>37</v>
      </c>
      <c r="F491" s="1">
        <v>1</v>
      </c>
      <c r="G491" s="1">
        <v>1</v>
      </c>
      <c r="H491" s="1" t="s">
        <v>38</v>
      </c>
      <c r="I491" s="1" t="str">
        <f>IF(ISNUMBER(SEARCH("Renceng",J491)),(K491/10)," ")</f>
        <v> </v>
      </c>
      <c r="J491" s="1" t="str">
        <f>IF(ISNUMBER(SEARCH("Rtg",B491)),"Renceng"," ")</f>
        <v> </v>
      </c>
      <c r="K491" s="1">
        <v>9</v>
      </c>
      <c r="L491" s="1" t="s">
        <v>120</v>
      </c>
      <c r="M491" s="1">
        <v>9</v>
      </c>
      <c r="N491" s="1" t="s">
        <v>226</v>
      </c>
      <c r="O491" s="1">
        <v>900</v>
      </c>
      <c r="P491" s="1" t="s">
        <v>41</v>
      </c>
      <c r="Q491" s="1" t="s">
        <v>42</v>
      </c>
      <c r="R491" s="1" t="s">
        <v>43</v>
      </c>
      <c r="S491" s="1" t="s">
        <v>44</v>
      </c>
      <c r="T491" s="1" t="s">
        <v>44</v>
      </c>
      <c r="U491" s="1" t="s">
        <v>44</v>
      </c>
      <c r="V491" s="1" t="s">
        <v>45</v>
      </c>
      <c r="W491" s="1" t="s">
        <v>46</v>
      </c>
      <c r="X491" s="1" t="s">
        <v>430</v>
      </c>
      <c r="Z491" s="1">
        <v>380</v>
      </c>
      <c r="AA491" s="1" t="s">
        <v>43</v>
      </c>
      <c r="AB491" s="1">
        <v>0</v>
      </c>
      <c r="AD491" s="1">
        <v>2</v>
      </c>
      <c r="AE491" s="1">
        <v>32.6</v>
      </c>
      <c r="AF491" s="1">
        <v>16.5</v>
      </c>
      <c r="AG491" s="1">
        <v>26.5</v>
      </c>
      <c r="AH491" s="1">
        <v>0.01</v>
      </c>
      <c r="AI491" s="1">
        <v>5.26</v>
      </c>
    </row>
    <row r="492" hidden="1" spans="1:35">
      <c r="A492" s="1" t="s">
        <v>1048</v>
      </c>
      <c r="B492" s="1" t="s">
        <v>1049</v>
      </c>
      <c r="D492" s="1" t="s">
        <v>37</v>
      </c>
      <c r="F492" s="1">
        <v>1</v>
      </c>
      <c r="G492" s="1">
        <v>1</v>
      </c>
      <c r="H492" s="1"/>
      <c r="I492" s="1"/>
      <c r="J492" s="1"/>
      <c r="K492" s="1">
        <v>1</v>
      </c>
      <c r="L492" s="1" t="s">
        <v>120</v>
      </c>
      <c r="M492" s="1">
        <v>50</v>
      </c>
      <c r="N492" s="1" t="s">
        <v>205</v>
      </c>
      <c r="O492" s="3">
        <v>5000</v>
      </c>
      <c r="P492" s="1" t="s">
        <v>41</v>
      </c>
      <c r="Q492" s="1" t="s">
        <v>42</v>
      </c>
      <c r="R492" s="1" t="s">
        <v>43</v>
      </c>
      <c r="S492" s="1" t="s">
        <v>44</v>
      </c>
      <c r="T492" s="1" t="s">
        <v>44</v>
      </c>
      <c r="U492" s="1" t="s">
        <v>44</v>
      </c>
      <c r="V492" s="1" t="s">
        <v>45</v>
      </c>
      <c r="W492" s="1" t="s">
        <v>46</v>
      </c>
      <c r="X492" s="1" t="s">
        <v>396</v>
      </c>
      <c r="Z492" s="1">
        <v>60</v>
      </c>
      <c r="AA492" s="1" t="s">
        <v>44</v>
      </c>
      <c r="AB492" s="1">
        <v>0</v>
      </c>
      <c r="AD492" s="1">
        <v>2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</row>
    <row r="493" hidden="1" spans="1:35">
      <c r="A493" s="1" t="s">
        <v>1050</v>
      </c>
      <c r="B493" s="1" t="s">
        <v>1051</v>
      </c>
      <c r="D493" s="1" t="s">
        <v>37</v>
      </c>
      <c r="F493" s="1">
        <v>1</v>
      </c>
      <c r="G493" s="1">
        <v>1</v>
      </c>
      <c r="H493" s="1"/>
      <c r="I493" s="1"/>
      <c r="J493" s="1"/>
      <c r="K493" s="1">
        <v>1</v>
      </c>
      <c r="L493" s="1" t="s">
        <v>120</v>
      </c>
      <c r="M493" s="1">
        <v>10</v>
      </c>
      <c r="N493" s="1" t="s">
        <v>423</v>
      </c>
      <c r="O493" s="3">
        <v>1000</v>
      </c>
      <c r="P493" s="1" t="s">
        <v>41</v>
      </c>
      <c r="Q493" s="1" t="s">
        <v>42</v>
      </c>
      <c r="R493" s="1" t="s">
        <v>43</v>
      </c>
      <c r="S493" s="1" t="s">
        <v>44</v>
      </c>
      <c r="T493" s="1" t="s">
        <v>44</v>
      </c>
      <c r="U493" s="1" t="s">
        <v>44</v>
      </c>
      <c r="V493" s="1" t="s">
        <v>45</v>
      </c>
      <c r="W493" s="1" t="s">
        <v>46</v>
      </c>
      <c r="X493" s="1" t="s">
        <v>396</v>
      </c>
      <c r="Z493" s="1">
        <v>450</v>
      </c>
      <c r="AA493" s="1" t="s">
        <v>43</v>
      </c>
      <c r="AB493" s="1">
        <v>0</v>
      </c>
      <c r="AD493" s="1">
        <v>2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</row>
    <row r="494" spans="1:35">
      <c r="A494" t="s">
        <v>1052</v>
      </c>
      <c r="B494" t="s">
        <v>1053</v>
      </c>
      <c r="D494" t="s">
        <v>37</v>
      </c>
      <c r="F494">
        <v>1</v>
      </c>
      <c r="G494">
        <v>1</v>
      </c>
      <c r="H494" t="s">
        <v>38</v>
      </c>
      <c r="K494">
        <v>6</v>
      </c>
      <c r="L494" t="s">
        <v>315</v>
      </c>
      <c r="M494">
        <v>6</v>
      </c>
      <c r="N494" t="s">
        <v>1054</v>
      </c>
      <c r="O494">
        <v>600</v>
      </c>
      <c r="P494" t="s">
        <v>41</v>
      </c>
      <c r="Q494" t="s">
        <v>42</v>
      </c>
      <c r="R494" t="s">
        <v>43</v>
      </c>
      <c r="S494" t="s">
        <v>44</v>
      </c>
      <c r="T494" t="s">
        <v>44</v>
      </c>
      <c r="U494" t="s">
        <v>44</v>
      </c>
      <c r="V494" t="s">
        <v>45</v>
      </c>
      <c r="W494" t="s">
        <v>46</v>
      </c>
      <c r="X494" t="s">
        <v>396</v>
      </c>
      <c r="Z494" s="2">
        <v>1000</v>
      </c>
      <c r="AA494" t="s">
        <v>44</v>
      </c>
      <c r="AB494">
        <v>714</v>
      </c>
      <c r="AD494">
        <v>2</v>
      </c>
      <c r="AE494">
        <v>43</v>
      </c>
      <c r="AF494">
        <v>28.8</v>
      </c>
      <c r="AG494">
        <v>17.5</v>
      </c>
      <c r="AH494">
        <v>0.02</v>
      </c>
      <c r="AI494">
        <v>6.94</v>
      </c>
    </row>
    <row r="495" hidden="1" spans="1:35">
      <c r="A495" s="1" t="s">
        <v>1055</v>
      </c>
      <c r="B495" s="1" t="s">
        <v>1056</v>
      </c>
      <c r="D495" s="1" t="s">
        <v>37</v>
      </c>
      <c r="F495" s="1">
        <v>1</v>
      </c>
      <c r="G495" s="1">
        <v>1</v>
      </c>
      <c r="H495" s="1"/>
      <c r="I495" s="1"/>
      <c r="J495" s="1"/>
      <c r="K495" s="1">
        <v>1</v>
      </c>
      <c r="L495" s="1" t="s">
        <v>120</v>
      </c>
      <c r="M495" s="1">
        <v>200</v>
      </c>
      <c r="N495" s="1" t="s">
        <v>199</v>
      </c>
      <c r="O495" s="3">
        <v>20000</v>
      </c>
      <c r="P495" s="1" t="s">
        <v>41</v>
      </c>
      <c r="Q495" s="1" t="s">
        <v>42</v>
      </c>
      <c r="R495" s="1" t="s">
        <v>43</v>
      </c>
      <c r="S495" s="1" t="s">
        <v>44</v>
      </c>
      <c r="T495" s="1" t="s">
        <v>44</v>
      </c>
      <c r="U495" s="1" t="s">
        <v>44</v>
      </c>
      <c r="V495" s="1" t="s">
        <v>45</v>
      </c>
      <c r="W495" s="1" t="s">
        <v>46</v>
      </c>
      <c r="X495" s="1" t="s">
        <v>430</v>
      </c>
      <c r="Z495" s="1">
        <v>10</v>
      </c>
      <c r="AA495" s="1" t="s">
        <v>44</v>
      </c>
      <c r="AB495" s="1">
        <v>0</v>
      </c>
      <c r="AD495" s="1">
        <v>2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</row>
    <row r="496" spans="1:35">
      <c r="A496" t="s">
        <v>1057</v>
      </c>
      <c r="B496" t="s">
        <v>1058</v>
      </c>
      <c r="D496" t="s">
        <v>37</v>
      </c>
      <c r="F496">
        <v>1</v>
      </c>
      <c r="G496">
        <v>1</v>
      </c>
      <c r="H496" t="s">
        <v>38</v>
      </c>
      <c r="K496">
        <v>10</v>
      </c>
      <c r="L496" t="s">
        <v>53</v>
      </c>
      <c r="M496">
        <v>10</v>
      </c>
      <c r="N496" t="s">
        <v>54</v>
      </c>
      <c r="O496" s="2">
        <v>1000</v>
      </c>
      <c r="P496" t="s">
        <v>41</v>
      </c>
      <c r="Q496" t="s">
        <v>42</v>
      </c>
      <c r="R496" t="s">
        <v>44</v>
      </c>
      <c r="S496" t="s">
        <v>44</v>
      </c>
      <c r="T496" t="s">
        <v>44</v>
      </c>
      <c r="U496" t="s">
        <v>44</v>
      </c>
      <c r="V496" t="s">
        <v>45</v>
      </c>
      <c r="W496" t="s">
        <v>46</v>
      </c>
      <c r="X496" t="s">
        <v>396</v>
      </c>
      <c r="Z496">
        <v>350</v>
      </c>
      <c r="AA496" t="s">
        <v>44</v>
      </c>
      <c r="AB496" s="2">
        <v>3939</v>
      </c>
      <c r="AD496">
        <v>2</v>
      </c>
      <c r="AE496">
        <v>33</v>
      </c>
      <c r="AF496">
        <v>16.2</v>
      </c>
      <c r="AG496">
        <v>25.5</v>
      </c>
      <c r="AH496">
        <v>0.01</v>
      </c>
      <c r="AI496">
        <v>3.79</v>
      </c>
    </row>
    <row r="497" spans="1:35">
      <c r="A497" t="s">
        <v>1059</v>
      </c>
      <c r="B497" t="s">
        <v>1060</v>
      </c>
      <c r="D497" t="s">
        <v>37</v>
      </c>
      <c r="F497">
        <v>1</v>
      </c>
      <c r="G497">
        <v>1</v>
      </c>
      <c r="H497" t="s">
        <v>38</v>
      </c>
      <c r="I497" t="str">
        <f>IF(ISNUMBER(SEARCH("Renceng",J497)),(K497/10)," ")</f>
        <v> </v>
      </c>
      <c r="J497" t="str">
        <f>IF(ISNUMBER(SEARCH("Rtg",B497)),"Renceng"," ")</f>
        <v> </v>
      </c>
      <c r="K497">
        <v>10</v>
      </c>
      <c r="L497" t="s">
        <v>53</v>
      </c>
      <c r="M497">
        <v>10</v>
      </c>
      <c r="N497" t="s">
        <v>54</v>
      </c>
      <c r="O497" s="2">
        <v>1000</v>
      </c>
      <c r="P497" t="s">
        <v>41</v>
      </c>
      <c r="Q497" t="s">
        <v>42</v>
      </c>
      <c r="R497" t="s">
        <v>44</v>
      </c>
      <c r="S497" t="s">
        <v>44</v>
      </c>
      <c r="T497" t="s">
        <v>44</v>
      </c>
      <c r="U497" t="s">
        <v>44</v>
      </c>
      <c r="V497" t="s">
        <v>45</v>
      </c>
      <c r="W497" t="s">
        <v>46</v>
      </c>
      <c r="X497" t="s">
        <v>396</v>
      </c>
      <c r="Z497">
        <v>350</v>
      </c>
      <c r="AA497" t="s">
        <v>44</v>
      </c>
      <c r="AB497" s="2">
        <v>29622</v>
      </c>
      <c r="AD497">
        <v>2</v>
      </c>
      <c r="AE497">
        <v>32.6</v>
      </c>
      <c r="AF497">
        <v>16.5</v>
      </c>
      <c r="AG497">
        <v>26.5</v>
      </c>
      <c r="AH497">
        <v>0.01</v>
      </c>
      <c r="AI497">
        <v>3.75</v>
      </c>
    </row>
    <row r="498" spans="1:35">
      <c r="A498" t="s">
        <v>1061</v>
      </c>
      <c r="B498" t="s">
        <v>1062</v>
      </c>
      <c r="D498" t="s">
        <v>37</v>
      </c>
      <c r="F498">
        <v>1</v>
      </c>
      <c r="G498">
        <v>1</v>
      </c>
      <c r="H498" t="s">
        <v>38</v>
      </c>
      <c r="K498">
        <v>10</v>
      </c>
      <c r="L498" t="s">
        <v>53</v>
      </c>
      <c r="M498">
        <v>10</v>
      </c>
      <c r="N498" t="s">
        <v>54</v>
      </c>
      <c r="O498" s="2">
        <v>1000</v>
      </c>
      <c r="P498" t="s">
        <v>41</v>
      </c>
      <c r="Q498" t="s">
        <v>42</v>
      </c>
      <c r="R498" t="s">
        <v>43</v>
      </c>
      <c r="S498" t="s">
        <v>44</v>
      </c>
      <c r="T498" t="s">
        <v>44</v>
      </c>
      <c r="U498" t="s">
        <v>44</v>
      </c>
      <c r="V498" t="s">
        <v>45</v>
      </c>
      <c r="W498" t="s">
        <v>46</v>
      </c>
      <c r="X498" t="s">
        <v>396</v>
      </c>
      <c r="Z498">
        <v>380</v>
      </c>
      <c r="AA498" t="s">
        <v>44</v>
      </c>
      <c r="AB498">
        <v>0</v>
      </c>
      <c r="AD498">
        <v>2</v>
      </c>
      <c r="AE498">
        <v>32.6</v>
      </c>
      <c r="AF498">
        <v>16.5</v>
      </c>
      <c r="AG498">
        <v>26.5</v>
      </c>
      <c r="AH498">
        <v>0.01</v>
      </c>
      <c r="AI498">
        <v>4.05</v>
      </c>
    </row>
    <row r="499" spans="1:35">
      <c r="A499" t="s">
        <v>1063</v>
      </c>
      <c r="B499" t="s">
        <v>1064</v>
      </c>
      <c r="D499" t="s">
        <v>37</v>
      </c>
      <c r="F499">
        <v>1</v>
      </c>
      <c r="G499">
        <v>1</v>
      </c>
      <c r="H499" t="s">
        <v>38</v>
      </c>
      <c r="I499" t="str">
        <f>IF(ISNUMBER(SEARCH("Renceng",J499)),(K499/10)," ")</f>
        <v> </v>
      </c>
      <c r="J499" t="str">
        <f>IF(ISNUMBER(SEARCH("Rtg",B499)),"Renceng"," ")</f>
        <v> </v>
      </c>
      <c r="K499">
        <v>10</v>
      </c>
      <c r="L499" t="s">
        <v>53</v>
      </c>
      <c r="M499">
        <v>10</v>
      </c>
      <c r="N499" t="s">
        <v>54</v>
      </c>
      <c r="O499" s="2">
        <v>1000</v>
      </c>
      <c r="P499" t="s">
        <v>41</v>
      </c>
      <c r="Q499" t="s">
        <v>42</v>
      </c>
      <c r="R499" t="s">
        <v>43</v>
      </c>
      <c r="S499" t="s">
        <v>44</v>
      </c>
      <c r="T499" t="s">
        <v>44</v>
      </c>
      <c r="U499" t="s">
        <v>44</v>
      </c>
      <c r="V499" t="s">
        <v>45</v>
      </c>
      <c r="W499" t="s">
        <v>46</v>
      </c>
      <c r="X499" t="s">
        <v>396</v>
      </c>
      <c r="Z499">
        <v>380</v>
      </c>
      <c r="AA499" t="s">
        <v>44</v>
      </c>
      <c r="AB499">
        <v>0</v>
      </c>
      <c r="AD499">
        <v>2</v>
      </c>
      <c r="AE499">
        <v>32.6</v>
      </c>
      <c r="AF499">
        <v>16.5</v>
      </c>
      <c r="AG499">
        <v>26.5</v>
      </c>
      <c r="AH499">
        <v>0.01</v>
      </c>
      <c r="AI499">
        <v>4.04</v>
      </c>
    </row>
    <row r="500" spans="1:35">
      <c r="A500" s="1" t="s">
        <v>1065</v>
      </c>
      <c r="B500" s="1" t="s">
        <v>1066</v>
      </c>
      <c r="D500" s="1" t="s">
        <v>37</v>
      </c>
      <c r="F500" s="1">
        <v>1</v>
      </c>
      <c r="G500" s="1">
        <v>1</v>
      </c>
      <c r="H500" s="1" t="s">
        <v>38</v>
      </c>
      <c r="I500">
        <f>IF(J500="Renceng",(M500/10),(M500/15))</f>
        <v>20</v>
      </c>
      <c r="J500" t="s">
        <v>149</v>
      </c>
      <c r="K500" s="1">
        <f>M500/I500</f>
        <v>10</v>
      </c>
      <c r="L500" s="1" t="s">
        <v>120</v>
      </c>
      <c r="M500" s="1">
        <v>200</v>
      </c>
      <c r="N500" s="1" t="s">
        <v>199</v>
      </c>
      <c r="O500" s="3">
        <v>20000</v>
      </c>
      <c r="P500" s="1" t="s">
        <v>41</v>
      </c>
      <c r="Q500" s="1" t="s">
        <v>42</v>
      </c>
      <c r="R500" s="1" t="s">
        <v>43</v>
      </c>
      <c r="S500" s="1" t="s">
        <v>44</v>
      </c>
      <c r="T500" s="1" t="s">
        <v>44</v>
      </c>
      <c r="U500" s="1" t="s">
        <v>44</v>
      </c>
      <c r="V500" s="1" t="s">
        <v>45</v>
      </c>
      <c r="W500" s="1" t="s">
        <v>46</v>
      </c>
      <c r="X500" s="1" t="s">
        <v>461</v>
      </c>
      <c r="Z500" s="1">
        <v>7</v>
      </c>
      <c r="AA500" s="1" t="s">
        <v>44</v>
      </c>
      <c r="AB500" s="1">
        <v>55</v>
      </c>
      <c r="AD500" s="1">
        <v>2</v>
      </c>
      <c r="AE500" s="1">
        <v>39.6</v>
      </c>
      <c r="AF500" s="1">
        <v>22</v>
      </c>
      <c r="AG500" s="1">
        <v>21</v>
      </c>
      <c r="AH500" s="1">
        <v>0.02</v>
      </c>
      <c r="AI500" s="1">
        <v>3.71</v>
      </c>
    </row>
    <row r="501" spans="1:35">
      <c r="A501" t="s">
        <v>1067</v>
      </c>
      <c r="B501" t="s">
        <v>422</v>
      </c>
      <c r="D501" t="s">
        <v>37</v>
      </c>
      <c r="F501">
        <v>1</v>
      </c>
      <c r="G501">
        <v>1</v>
      </c>
      <c r="H501" t="s">
        <v>38</v>
      </c>
      <c r="K501">
        <v>10</v>
      </c>
      <c r="L501" t="s">
        <v>53</v>
      </c>
      <c r="M501">
        <v>10</v>
      </c>
      <c r="N501" t="s">
        <v>54</v>
      </c>
      <c r="O501" s="2">
        <v>1000</v>
      </c>
      <c r="P501" t="s">
        <v>41</v>
      </c>
      <c r="Q501" t="s">
        <v>42</v>
      </c>
      <c r="R501" t="s">
        <v>43</v>
      </c>
      <c r="S501" t="s">
        <v>44</v>
      </c>
      <c r="T501" t="s">
        <v>44</v>
      </c>
      <c r="U501" t="s">
        <v>44</v>
      </c>
      <c r="V501" t="s">
        <v>45</v>
      </c>
      <c r="W501" t="s">
        <v>46</v>
      </c>
      <c r="X501" t="s">
        <v>396</v>
      </c>
      <c r="Z501">
        <v>450</v>
      </c>
      <c r="AA501" t="s">
        <v>44</v>
      </c>
      <c r="AB501">
        <v>0</v>
      </c>
      <c r="AD501">
        <v>2</v>
      </c>
      <c r="AE501">
        <v>32.6</v>
      </c>
      <c r="AF501">
        <v>16.5</v>
      </c>
      <c r="AG501">
        <v>26.5</v>
      </c>
      <c r="AH501">
        <v>0.01</v>
      </c>
      <c r="AI501">
        <v>4.8</v>
      </c>
    </row>
    <row r="502" spans="1:35">
      <c r="A502" s="1" t="s">
        <v>1068</v>
      </c>
      <c r="B502" s="1" t="s">
        <v>1069</v>
      </c>
      <c r="D502" s="1" t="s">
        <v>37</v>
      </c>
      <c r="F502" s="1">
        <v>1</v>
      </c>
      <c r="G502" s="1">
        <v>1</v>
      </c>
      <c r="H502" t="s">
        <v>38</v>
      </c>
      <c r="K502" s="1">
        <v>20</v>
      </c>
      <c r="L502" s="1" t="s">
        <v>120</v>
      </c>
      <c r="M502" s="1">
        <v>20</v>
      </c>
      <c r="N502" s="1" t="s">
        <v>223</v>
      </c>
      <c r="O502" s="3">
        <v>2000</v>
      </c>
      <c r="P502" s="1" t="s">
        <v>41</v>
      </c>
      <c r="Q502" s="1" t="s">
        <v>42</v>
      </c>
      <c r="R502" s="1" t="s">
        <v>43</v>
      </c>
      <c r="S502" s="1" t="s">
        <v>44</v>
      </c>
      <c r="T502" s="1" t="s">
        <v>44</v>
      </c>
      <c r="U502" s="1" t="s">
        <v>44</v>
      </c>
      <c r="V502" s="1" t="s">
        <v>45</v>
      </c>
      <c r="W502" s="1" t="s">
        <v>46</v>
      </c>
      <c r="X502" s="1" t="s">
        <v>461</v>
      </c>
      <c r="Z502" s="1">
        <v>150</v>
      </c>
      <c r="AA502" s="1" t="s">
        <v>43</v>
      </c>
      <c r="AB502" s="1">
        <v>0</v>
      </c>
      <c r="AD502" s="1">
        <v>2</v>
      </c>
      <c r="AE502" s="1">
        <v>30.6</v>
      </c>
      <c r="AF502" s="1">
        <v>23.5</v>
      </c>
      <c r="AG502" s="1">
        <v>18.2</v>
      </c>
      <c r="AH502" s="1">
        <v>0.01</v>
      </c>
      <c r="AI502" s="1">
        <v>3.34</v>
      </c>
    </row>
    <row r="503" spans="1:35">
      <c r="A503" t="s">
        <v>1070</v>
      </c>
      <c r="B503" t="s">
        <v>1051</v>
      </c>
      <c r="D503" t="s">
        <v>37</v>
      </c>
      <c r="F503">
        <v>1</v>
      </c>
      <c r="G503">
        <v>1</v>
      </c>
      <c r="H503" t="s">
        <v>38</v>
      </c>
      <c r="I503" t="str">
        <f>IF(ISNUMBER(SEARCH("Renceng",J503)),(K503/10)," ")</f>
        <v> </v>
      </c>
      <c r="J503" t="str">
        <f>IF(ISNUMBER(SEARCH("Rtg",B503)),"Renceng"," ")</f>
        <v> </v>
      </c>
      <c r="K503">
        <v>10</v>
      </c>
      <c r="L503" t="s">
        <v>53</v>
      </c>
      <c r="M503">
        <v>10</v>
      </c>
      <c r="N503" t="s">
        <v>54</v>
      </c>
      <c r="O503" s="2">
        <v>1000</v>
      </c>
      <c r="P503" t="s">
        <v>41</v>
      </c>
      <c r="Q503" t="s">
        <v>42</v>
      </c>
      <c r="R503" t="s">
        <v>43</v>
      </c>
      <c r="S503" t="s">
        <v>44</v>
      </c>
      <c r="T503" t="s">
        <v>44</v>
      </c>
      <c r="U503" t="s">
        <v>44</v>
      </c>
      <c r="V503" t="s">
        <v>45</v>
      </c>
      <c r="W503" t="s">
        <v>46</v>
      </c>
      <c r="X503" t="s">
        <v>396</v>
      </c>
      <c r="Z503">
        <v>450</v>
      </c>
      <c r="AA503" t="s">
        <v>44</v>
      </c>
      <c r="AB503">
        <v>0</v>
      </c>
      <c r="AD503">
        <v>2</v>
      </c>
      <c r="AE503">
        <v>32.6</v>
      </c>
      <c r="AF503">
        <v>16.5</v>
      </c>
      <c r="AG503">
        <v>26.5</v>
      </c>
      <c r="AH503">
        <v>0.01</v>
      </c>
      <c r="AI503">
        <v>4.8</v>
      </c>
    </row>
    <row r="504" spans="1:35">
      <c r="A504" s="1" t="s">
        <v>1071</v>
      </c>
      <c r="B504" s="1" t="s">
        <v>1072</v>
      </c>
      <c r="D504" s="1" t="s">
        <v>37</v>
      </c>
      <c r="E504" t="s">
        <v>38</v>
      </c>
      <c r="F504" s="1">
        <v>25</v>
      </c>
      <c r="G504" s="1">
        <v>1</v>
      </c>
      <c r="H504" t="s">
        <v>38</v>
      </c>
      <c r="I504" t="str">
        <f>IF(ISNUMBER(SEARCH("Renceng",J504)),(K504/10)," ")</f>
        <v> </v>
      </c>
      <c r="J504" t="str">
        <f>IF(ISNUMBER(SEARCH("Rtg",B504)),"Renceng"," ")</f>
        <v> </v>
      </c>
      <c r="K504" s="1">
        <v>25</v>
      </c>
      <c r="L504" s="1" t="s">
        <v>120</v>
      </c>
      <c r="M504" s="1">
        <v>25</v>
      </c>
      <c r="N504" s="1" t="s">
        <v>448</v>
      </c>
      <c r="O504" s="3">
        <v>2500</v>
      </c>
      <c r="P504" s="1" t="s">
        <v>41</v>
      </c>
      <c r="Q504" s="1" t="s">
        <v>42</v>
      </c>
      <c r="R504" s="1" t="s">
        <v>43</v>
      </c>
      <c r="S504" s="1" t="s">
        <v>44</v>
      </c>
      <c r="T504" s="1" t="s">
        <v>44</v>
      </c>
      <c r="U504" s="1" t="s">
        <v>44</v>
      </c>
      <c r="V504" s="1" t="s">
        <v>45</v>
      </c>
      <c r="W504" s="1" t="s">
        <v>46</v>
      </c>
      <c r="X504" s="1" t="s">
        <v>430</v>
      </c>
      <c r="Z504" s="1">
        <v>135</v>
      </c>
      <c r="AA504" s="1" t="s">
        <v>44</v>
      </c>
      <c r="AB504" s="1">
        <v>0</v>
      </c>
      <c r="AD504" s="1">
        <v>2</v>
      </c>
      <c r="AE504" s="1">
        <v>32.8</v>
      </c>
      <c r="AF504" s="1">
        <v>24.4</v>
      </c>
      <c r="AG504" s="1">
        <v>20.5</v>
      </c>
      <c r="AH504" s="1">
        <v>0.02</v>
      </c>
      <c r="AI504" s="1">
        <v>3.69</v>
      </c>
    </row>
    <row r="505" spans="1:35">
      <c r="A505" t="s">
        <v>1073</v>
      </c>
      <c r="B505" t="s">
        <v>1074</v>
      </c>
      <c r="D505" t="s">
        <v>37</v>
      </c>
      <c r="F505">
        <v>1</v>
      </c>
      <c r="G505">
        <v>1</v>
      </c>
      <c r="H505" t="s">
        <v>38</v>
      </c>
      <c r="K505">
        <v>12</v>
      </c>
      <c r="L505" t="s">
        <v>315</v>
      </c>
      <c r="M505">
        <v>12</v>
      </c>
      <c r="N505" t="s">
        <v>399</v>
      </c>
      <c r="O505" s="2">
        <v>1200</v>
      </c>
      <c r="P505" t="s">
        <v>41</v>
      </c>
      <c r="Q505" t="s">
        <v>42</v>
      </c>
      <c r="R505" t="s">
        <v>43</v>
      </c>
      <c r="S505" t="s">
        <v>44</v>
      </c>
      <c r="T505" t="s">
        <v>44</v>
      </c>
      <c r="U505" t="s">
        <v>44</v>
      </c>
      <c r="V505" t="s">
        <v>45</v>
      </c>
      <c r="W505" t="s">
        <v>46</v>
      </c>
      <c r="X505" t="s">
        <v>396</v>
      </c>
      <c r="Z505">
        <v>600</v>
      </c>
      <c r="AA505" t="s">
        <v>44</v>
      </c>
      <c r="AB505" s="2">
        <v>2219</v>
      </c>
      <c r="AD505">
        <v>2</v>
      </c>
      <c r="AE505">
        <v>43.5</v>
      </c>
      <c r="AF505">
        <v>29.1</v>
      </c>
      <c r="AG505">
        <v>25.5</v>
      </c>
      <c r="AH505">
        <v>0.03</v>
      </c>
      <c r="AI505">
        <v>8.46</v>
      </c>
    </row>
    <row r="506" hidden="1" spans="1:35">
      <c r="A506" s="1" t="s">
        <v>1075</v>
      </c>
      <c r="B506" s="1" t="s">
        <v>1076</v>
      </c>
      <c r="D506" s="1" t="s">
        <v>37</v>
      </c>
      <c r="F506" s="1">
        <v>1</v>
      </c>
      <c r="G506" s="1">
        <v>1</v>
      </c>
      <c r="H506" s="1"/>
      <c r="I506" s="1"/>
      <c r="J506" s="1"/>
      <c r="K506" s="1">
        <v>1</v>
      </c>
      <c r="L506" s="1" t="s">
        <v>120</v>
      </c>
      <c r="M506" s="1">
        <v>50</v>
      </c>
      <c r="N506" s="1" t="s">
        <v>205</v>
      </c>
      <c r="O506" s="3">
        <v>5000</v>
      </c>
      <c r="P506" s="1" t="s">
        <v>41</v>
      </c>
      <c r="Q506" s="1" t="s">
        <v>42</v>
      </c>
      <c r="R506" s="1" t="s">
        <v>43</v>
      </c>
      <c r="S506" s="1" t="s">
        <v>44</v>
      </c>
      <c r="T506" s="1" t="s">
        <v>44</v>
      </c>
      <c r="U506" s="1" t="s">
        <v>44</v>
      </c>
      <c r="V506" s="1" t="s">
        <v>45</v>
      </c>
      <c r="W506" s="1" t="s">
        <v>46</v>
      </c>
      <c r="X506" s="1" t="s">
        <v>194</v>
      </c>
      <c r="Z506" s="1">
        <v>60</v>
      </c>
      <c r="AA506" s="1" t="s">
        <v>44</v>
      </c>
      <c r="AB506" s="1">
        <v>0</v>
      </c>
      <c r="AD506" s="1">
        <v>2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</row>
    <row r="507" hidden="1" spans="1:35">
      <c r="A507" s="1" t="s">
        <v>1077</v>
      </c>
      <c r="B507" s="1" t="s">
        <v>1078</v>
      </c>
      <c r="D507" s="1" t="s">
        <v>37</v>
      </c>
      <c r="F507" s="1">
        <v>1</v>
      </c>
      <c r="G507" s="1">
        <v>1</v>
      </c>
      <c r="K507" s="1">
        <v>1</v>
      </c>
      <c r="L507" s="1" t="s">
        <v>120</v>
      </c>
      <c r="M507" s="1">
        <v>100</v>
      </c>
      <c r="N507" s="1" t="s">
        <v>202</v>
      </c>
      <c r="O507" s="1">
        <v>1</v>
      </c>
      <c r="P507" s="1" t="s">
        <v>41</v>
      </c>
      <c r="Q507" s="1" t="s">
        <v>42</v>
      </c>
      <c r="R507" s="1" t="s">
        <v>43</v>
      </c>
      <c r="S507" s="1" t="s">
        <v>44</v>
      </c>
      <c r="T507" s="1" t="s">
        <v>44</v>
      </c>
      <c r="U507" s="1" t="s">
        <v>44</v>
      </c>
      <c r="V507" s="1" t="s">
        <v>45</v>
      </c>
      <c r="W507" s="1" t="s">
        <v>46</v>
      </c>
      <c r="X507" s="1" t="s">
        <v>430</v>
      </c>
      <c r="Z507" s="1">
        <v>30</v>
      </c>
      <c r="AA507" s="1" t="s">
        <v>44</v>
      </c>
      <c r="AB507" s="1">
        <v>0</v>
      </c>
      <c r="AD507" s="1">
        <v>2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</row>
    <row r="508" spans="1:35">
      <c r="A508" s="1" t="s">
        <v>1079</v>
      </c>
      <c r="B508" s="1" t="s">
        <v>1080</v>
      </c>
      <c r="D508" s="1" t="s">
        <v>37</v>
      </c>
      <c r="E508" t="s">
        <v>38</v>
      </c>
      <c r="F508" s="1">
        <v>100</v>
      </c>
      <c r="G508" s="1">
        <v>1</v>
      </c>
      <c r="H508" s="1" t="s">
        <v>38</v>
      </c>
      <c r="I508" s="1">
        <f>IF(J508="Renceng",(M508/10),(M508/15))</f>
        <v>10</v>
      </c>
      <c r="J508" s="1" t="str">
        <f>IF(ISNUMBER(SEARCH("Rtg",B508)),"Renceng"," ")</f>
        <v>Renceng</v>
      </c>
      <c r="K508" s="1">
        <f>M508/I508</f>
        <v>10</v>
      </c>
      <c r="L508" s="1" t="s">
        <v>120</v>
      </c>
      <c r="M508" s="1">
        <v>100</v>
      </c>
      <c r="N508" s="1" t="s">
        <v>202</v>
      </c>
      <c r="O508" s="1">
        <v>1</v>
      </c>
      <c r="P508" s="1" t="s">
        <v>41</v>
      </c>
      <c r="Q508" s="1" t="s">
        <v>42</v>
      </c>
      <c r="R508" s="1" t="s">
        <v>43</v>
      </c>
      <c r="S508" s="1" t="s">
        <v>44</v>
      </c>
      <c r="T508" s="1" t="s">
        <v>44</v>
      </c>
      <c r="U508" s="1" t="s">
        <v>44</v>
      </c>
      <c r="V508" s="1" t="s">
        <v>45</v>
      </c>
      <c r="W508" s="1" t="s">
        <v>46</v>
      </c>
      <c r="X508" s="1" t="s">
        <v>430</v>
      </c>
      <c r="Z508" s="1">
        <v>30</v>
      </c>
      <c r="AA508" s="1" t="s">
        <v>44</v>
      </c>
      <c r="AB508" s="1">
        <v>0</v>
      </c>
      <c r="AD508" s="1">
        <v>2</v>
      </c>
      <c r="AE508" s="1">
        <v>39.5</v>
      </c>
      <c r="AF508" s="1">
        <v>28.2</v>
      </c>
      <c r="AG508" s="1">
        <v>21</v>
      </c>
      <c r="AH508" s="1">
        <v>0.02</v>
      </c>
      <c r="AI508" s="1">
        <v>3.57</v>
      </c>
    </row>
    <row r="509" spans="1:35">
      <c r="A509" s="1" t="s">
        <v>1081</v>
      </c>
      <c r="B509" s="1" t="s">
        <v>1082</v>
      </c>
      <c r="D509" s="1" t="s">
        <v>37</v>
      </c>
      <c r="E509" s="1"/>
      <c r="F509" s="1">
        <v>1</v>
      </c>
      <c r="G509" s="1">
        <v>1</v>
      </c>
      <c r="H509" s="1" t="s">
        <v>38</v>
      </c>
      <c r="I509" s="1">
        <f>IF(J509="Renceng",(M509/10),(M509/15))</f>
        <v>20</v>
      </c>
      <c r="J509" s="1" t="str">
        <f>IF(ISNUMBER(SEARCH("Rtg",B509)),"Renceng"," ")</f>
        <v>Renceng</v>
      </c>
      <c r="K509" s="1">
        <f>M509/I509</f>
        <v>10</v>
      </c>
      <c r="L509" s="1" t="s">
        <v>120</v>
      </c>
      <c r="M509" s="1">
        <v>200</v>
      </c>
      <c r="N509" s="1" t="s">
        <v>199</v>
      </c>
      <c r="O509" s="3">
        <v>20000</v>
      </c>
      <c r="P509" s="1" t="s">
        <v>41</v>
      </c>
      <c r="Q509" s="1" t="s">
        <v>42</v>
      </c>
      <c r="R509" s="1" t="s">
        <v>43</v>
      </c>
      <c r="S509" s="1" t="s">
        <v>44</v>
      </c>
      <c r="T509" s="1" t="s">
        <v>44</v>
      </c>
      <c r="U509" s="1" t="s">
        <v>44</v>
      </c>
      <c r="V509" s="1" t="s">
        <v>45</v>
      </c>
      <c r="W509" s="1" t="s">
        <v>46</v>
      </c>
      <c r="X509" s="1" t="s">
        <v>461</v>
      </c>
      <c r="Z509" s="1">
        <v>7</v>
      </c>
      <c r="AA509" s="1" t="s">
        <v>44</v>
      </c>
      <c r="AB509" s="1">
        <v>0</v>
      </c>
      <c r="AD509" s="1">
        <v>2</v>
      </c>
      <c r="AE509" s="1">
        <v>35.8</v>
      </c>
      <c r="AF509" s="1">
        <v>31.7</v>
      </c>
      <c r="AG509" s="1">
        <v>20.9</v>
      </c>
      <c r="AH509" s="1">
        <v>0.02</v>
      </c>
      <c r="AI509" s="1">
        <v>4.78</v>
      </c>
    </row>
    <row r="510" spans="1:35">
      <c r="A510" s="1" t="s">
        <v>1083</v>
      </c>
      <c r="B510" s="1" t="s">
        <v>1084</v>
      </c>
      <c r="D510" s="1" t="s">
        <v>37</v>
      </c>
      <c r="F510" s="1">
        <v>1</v>
      </c>
      <c r="G510" s="1">
        <v>1</v>
      </c>
      <c r="H510" s="1" t="s">
        <v>38</v>
      </c>
      <c r="I510" s="1" t="str">
        <f>IF(ISNUMBER(SEARCH("Renceng",J510)),(K510/10)," ")</f>
        <v> </v>
      </c>
      <c r="J510" s="1" t="str">
        <f>IF(ISNUMBER(SEARCH("Rtg",B510)),"Renceng"," ")</f>
        <v> </v>
      </c>
      <c r="K510" s="1">
        <v>20</v>
      </c>
      <c r="L510" s="1" t="s">
        <v>120</v>
      </c>
      <c r="M510" s="1">
        <v>20</v>
      </c>
      <c r="N510" s="1" t="s">
        <v>223</v>
      </c>
      <c r="O510" s="3">
        <v>2000</v>
      </c>
      <c r="P510" s="1" t="s">
        <v>41</v>
      </c>
      <c r="Q510" s="1" t="s">
        <v>42</v>
      </c>
      <c r="R510" s="1" t="s">
        <v>43</v>
      </c>
      <c r="S510" s="1" t="s">
        <v>44</v>
      </c>
      <c r="T510" s="1" t="s">
        <v>44</v>
      </c>
      <c r="U510" s="1" t="s">
        <v>44</v>
      </c>
      <c r="V510" s="1" t="s">
        <v>45</v>
      </c>
      <c r="W510" s="1" t="s">
        <v>46</v>
      </c>
      <c r="X510" s="1" t="s">
        <v>461</v>
      </c>
      <c r="Z510" s="1">
        <v>150</v>
      </c>
      <c r="AA510" s="1" t="s">
        <v>43</v>
      </c>
      <c r="AB510" s="1">
        <v>0</v>
      </c>
      <c r="AD510" s="1">
        <v>2</v>
      </c>
      <c r="AE510" s="1">
        <v>30.6</v>
      </c>
      <c r="AF510" s="1">
        <v>23.5</v>
      </c>
      <c r="AG510" s="1">
        <v>18</v>
      </c>
      <c r="AH510" s="1">
        <v>0.01</v>
      </c>
      <c r="AI510" s="1">
        <v>3.34</v>
      </c>
    </row>
    <row r="511" spans="1:35">
      <c r="A511" t="s">
        <v>1085</v>
      </c>
      <c r="B511" t="s">
        <v>1086</v>
      </c>
      <c r="D511" t="s">
        <v>37</v>
      </c>
      <c r="F511">
        <v>1</v>
      </c>
      <c r="G511">
        <v>1</v>
      </c>
      <c r="H511" t="s">
        <v>38</v>
      </c>
      <c r="K511">
        <v>12</v>
      </c>
      <c r="L511" t="s">
        <v>53</v>
      </c>
      <c r="M511">
        <v>12</v>
      </c>
      <c r="N511" t="s">
        <v>216</v>
      </c>
      <c r="O511" s="2">
        <v>1200</v>
      </c>
      <c r="P511" t="s">
        <v>41</v>
      </c>
      <c r="Q511" t="s">
        <v>42</v>
      </c>
      <c r="R511" t="s">
        <v>43</v>
      </c>
      <c r="S511" t="s">
        <v>44</v>
      </c>
      <c r="T511" t="s">
        <v>44</v>
      </c>
      <c r="U511" t="s">
        <v>44</v>
      </c>
      <c r="V511" t="s">
        <v>45</v>
      </c>
      <c r="W511" t="s">
        <v>230</v>
      </c>
      <c r="X511" t="s">
        <v>396</v>
      </c>
      <c r="Z511">
        <v>230</v>
      </c>
      <c r="AA511" t="s">
        <v>44</v>
      </c>
      <c r="AB511">
        <v>0</v>
      </c>
      <c r="AD511">
        <v>2</v>
      </c>
      <c r="AE511">
        <v>39.6</v>
      </c>
      <c r="AF511">
        <v>22</v>
      </c>
      <c r="AG511">
        <v>21</v>
      </c>
      <c r="AH511">
        <v>0.02</v>
      </c>
      <c r="AI511" s="2">
        <v>2760</v>
      </c>
    </row>
    <row r="512" spans="1:35">
      <c r="A512" t="s">
        <v>1087</v>
      </c>
      <c r="B512" t="s">
        <v>1088</v>
      </c>
      <c r="D512" t="s">
        <v>37</v>
      </c>
      <c r="F512">
        <v>1</v>
      </c>
      <c r="G512">
        <v>1</v>
      </c>
      <c r="H512" t="s">
        <v>38</v>
      </c>
      <c r="I512" t="str">
        <f>IF(ISNUMBER(SEARCH("Renceng",J512)),(K512/10)," ")</f>
        <v> </v>
      </c>
      <c r="K512">
        <v>12</v>
      </c>
      <c r="L512" t="s">
        <v>53</v>
      </c>
      <c r="M512">
        <v>12</v>
      </c>
      <c r="N512" t="s">
        <v>216</v>
      </c>
      <c r="O512" s="2">
        <v>1200</v>
      </c>
      <c r="P512" t="s">
        <v>41</v>
      </c>
      <c r="Q512" t="s">
        <v>42</v>
      </c>
      <c r="R512" t="s">
        <v>43</v>
      </c>
      <c r="S512" t="s">
        <v>44</v>
      </c>
      <c r="T512" t="s">
        <v>44</v>
      </c>
      <c r="U512" t="s">
        <v>44</v>
      </c>
      <c r="V512" t="s">
        <v>45</v>
      </c>
      <c r="W512" t="s">
        <v>230</v>
      </c>
      <c r="X512" t="s">
        <v>396</v>
      </c>
      <c r="Z512">
        <v>276</v>
      </c>
      <c r="AA512" t="s">
        <v>44</v>
      </c>
      <c r="AB512">
        <v>0</v>
      </c>
      <c r="AD512">
        <v>2</v>
      </c>
      <c r="AE512">
        <v>39.6</v>
      </c>
      <c r="AF512">
        <v>22</v>
      </c>
      <c r="AG512">
        <v>21</v>
      </c>
      <c r="AH512">
        <v>0.02</v>
      </c>
      <c r="AI512" s="2">
        <v>3312</v>
      </c>
    </row>
    <row r="513" spans="1:35">
      <c r="A513" s="1" t="s">
        <v>1089</v>
      </c>
      <c r="B513" s="1" t="s">
        <v>1090</v>
      </c>
      <c r="D513" s="1" t="s">
        <v>37</v>
      </c>
      <c r="F513" s="1">
        <v>1</v>
      </c>
      <c r="G513" s="1">
        <v>1</v>
      </c>
      <c r="H513" s="1" t="s">
        <v>38</v>
      </c>
      <c r="I513" s="1">
        <f>IF(J513="Renceng",(M513/10),(M513/15))</f>
        <v>25</v>
      </c>
      <c r="J513" s="1" t="str">
        <f>IF(ISNUMBER(SEARCH("Rtg",B513)),"Renceng"," ")</f>
        <v>Renceng</v>
      </c>
      <c r="K513" s="1">
        <f>M513/I513</f>
        <v>10</v>
      </c>
      <c r="L513" s="1" t="s">
        <v>120</v>
      </c>
      <c r="M513" s="1">
        <v>250</v>
      </c>
      <c r="N513" s="1" t="s">
        <v>150</v>
      </c>
      <c r="O513" s="3">
        <v>25000</v>
      </c>
      <c r="P513" s="1" t="s">
        <v>41</v>
      </c>
      <c r="Q513" s="1" t="s">
        <v>42</v>
      </c>
      <c r="R513" s="1" t="s">
        <v>43</v>
      </c>
      <c r="S513" s="1" t="s">
        <v>44</v>
      </c>
      <c r="T513" s="1" t="s">
        <v>44</v>
      </c>
      <c r="U513" s="1" t="s">
        <v>44</v>
      </c>
      <c r="V513" s="1" t="s">
        <v>161</v>
      </c>
      <c r="W513" s="1" t="s">
        <v>162</v>
      </c>
      <c r="X513" s="1" t="s">
        <v>163</v>
      </c>
      <c r="Z513" s="1">
        <v>20</v>
      </c>
      <c r="AA513" s="1" t="s">
        <v>44</v>
      </c>
      <c r="AB513" s="1">
        <v>0</v>
      </c>
      <c r="AD513" s="1">
        <v>2</v>
      </c>
      <c r="AE513" s="1">
        <v>39.5</v>
      </c>
      <c r="AF513" s="1">
        <v>28</v>
      </c>
      <c r="AG513" s="1">
        <v>22.6</v>
      </c>
      <c r="AH513" s="1">
        <v>0.02</v>
      </c>
      <c r="AI513" s="1">
        <v>5.23</v>
      </c>
    </row>
    <row r="514" spans="1:35">
      <c r="A514" s="1" t="s">
        <v>1091</v>
      </c>
      <c r="B514" s="1" t="s">
        <v>1092</v>
      </c>
      <c r="D514" s="1" t="s">
        <v>37</v>
      </c>
      <c r="F514" s="1">
        <v>1</v>
      </c>
      <c r="G514" s="1">
        <v>1</v>
      </c>
      <c r="H514" s="1" t="s">
        <v>38</v>
      </c>
      <c r="I514" s="1">
        <f>IF(J514="Renceng",(M514/10),(M514/15))</f>
        <v>25</v>
      </c>
      <c r="J514" s="1" t="str">
        <f>IF(ISNUMBER(SEARCH("Rtg",B514)),"Renceng"," ")</f>
        <v>Renceng</v>
      </c>
      <c r="K514" s="1">
        <f>M514/I514</f>
        <v>10</v>
      </c>
      <c r="L514" s="1" t="s">
        <v>120</v>
      </c>
      <c r="M514" s="1">
        <v>250</v>
      </c>
      <c r="N514" s="1" t="s">
        <v>150</v>
      </c>
      <c r="O514" s="3">
        <v>25000</v>
      </c>
      <c r="P514" s="1" t="s">
        <v>41</v>
      </c>
      <c r="Q514" s="1" t="s">
        <v>42</v>
      </c>
      <c r="R514" s="1" t="s">
        <v>43</v>
      </c>
      <c r="S514" s="1" t="s">
        <v>44</v>
      </c>
      <c r="T514" s="1" t="s">
        <v>44</v>
      </c>
      <c r="U514" s="1" t="s">
        <v>44</v>
      </c>
      <c r="V514" s="1" t="s">
        <v>161</v>
      </c>
      <c r="W514" s="1" t="s">
        <v>162</v>
      </c>
      <c r="X514" s="1" t="s">
        <v>163</v>
      </c>
      <c r="Z514" s="1">
        <v>20</v>
      </c>
      <c r="AA514" s="1" t="s">
        <v>44</v>
      </c>
      <c r="AB514" s="1">
        <v>0</v>
      </c>
      <c r="AD514" s="1">
        <v>2</v>
      </c>
      <c r="AE514" s="1">
        <v>35</v>
      </c>
      <c r="AF514" s="1">
        <v>30</v>
      </c>
      <c r="AG514" s="1">
        <v>22</v>
      </c>
      <c r="AH514" s="3">
        <v>23100</v>
      </c>
      <c r="AI514" s="1">
        <v>4</v>
      </c>
    </row>
    <row r="515" spans="1:35">
      <c r="A515" s="1" t="s">
        <v>1093</v>
      </c>
      <c r="B515" s="1" t="s">
        <v>1094</v>
      </c>
      <c r="D515" s="1" t="s">
        <v>37</v>
      </c>
      <c r="F515" s="1">
        <v>1</v>
      </c>
      <c r="G515" s="1">
        <v>1</v>
      </c>
      <c r="H515" s="1" t="s">
        <v>38</v>
      </c>
      <c r="I515" s="1" t="str">
        <f>IF(ISNUMBER(SEARCH("Renceng",J515)),(K515/10)," ")</f>
        <v> </v>
      </c>
      <c r="J515" s="1" t="str">
        <f>IF(ISNUMBER(SEARCH("Rtg",B515)),"Renceng"," ")</f>
        <v> </v>
      </c>
      <c r="K515" s="1">
        <v>25</v>
      </c>
      <c r="L515" s="1" t="s">
        <v>120</v>
      </c>
      <c r="M515" s="1">
        <v>25</v>
      </c>
      <c r="N515" s="1" t="s">
        <v>448</v>
      </c>
      <c r="O515" s="3">
        <v>2500</v>
      </c>
      <c r="P515" s="1" t="s">
        <v>41</v>
      </c>
      <c r="Q515" s="1" t="s">
        <v>42</v>
      </c>
      <c r="R515" s="1" t="s">
        <v>43</v>
      </c>
      <c r="S515" s="1" t="s">
        <v>44</v>
      </c>
      <c r="T515" s="1" t="s">
        <v>44</v>
      </c>
      <c r="U515" s="1" t="s">
        <v>44</v>
      </c>
      <c r="V515" s="1" t="s">
        <v>45</v>
      </c>
      <c r="W515" s="1" t="s">
        <v>46</v>
      </c>
      <c r="X515" s="1" t="s">
        <v>430</v>
      </c>
      <c r="Z515" s="1">
        <v>135</v>
      </c>
      <c r="AA515" s="1" t="s">
        <v>44</v>
      </c>
      <c r="AB515" s="1">
        <v>0</v>
      </c>
      <c r="AD515" s="1">
        <v>2</v>
      </c>
      <c r="AE515" s="1">
        <v>32.8</v>
      </c>
      <c r="AF515" s="1">
        <v>24.4</v>
      </c>
      <c r="AG515" s="1">
        <v>20.5</v>
      </c>
      <c r="AH515" s="1">
        <v>0.02</v>
      </c>
      <c r="AI515" s="1">
        <v>3.69</v>
      </c>
    </row>
    <row r="516" hidden="1" spans="1:35">
      <c r="A516" s="1" t="s">
        <v>1095</v>
      </c>
      <c r="B516" s="1" t="s">
        <v>1096</v>
      </c>
      <c r="D516" s="1" t="s">
        <v>37</v>
      </c>
      <c r="F516" s="1">
        <v>1</v>
      </c>
      <c r="G516" s="1">
        <v>1</v>
      </c>
      <c r="H516" s="1"/>
      <c r="I516" s="1"/>
      <c r="J516" s="1"/>
      <c r="K516" s="1">
        <v>1</v>
      </c>
      <c r="L516" s="1" t="s">
        <v>120</v>
      </c>
      <c r="M516" s="1">
        <v>20</v>
      </c>
      <c r="N516" s="1" t="s">
        <v>223</v>
      </c>
      <c r="O516" s="3">
        <v>2000</v>
      </c>
      <c r="P516" s="1" t="s">
        <v>41</v>
      </c>
      <c r="Q516" s="1" t="s">
        <v>42</v>
      </c>
      <c r="R516" s="1" t="s">
        <v>43</v>
      </c>
      <c r="S516" s="1" t="s">
        <v>44</v>
      </c>
      <c r="T516" s="1" t="s">
        <v>44</v>
      </c>
      <c r="U516" s="1" t="s">
        <v>44</v>
      </c>
      <c r="V516" s="1" t="s">
        <v>45</v>
      </c>
      <c r="W516" s="1" t="s">
        <v>46</v>
      </c>
      <c r="X516" s="1" t="s">
        <v>194</v>
      </c>
      <c r="Z516" s="1">
        <v>165</v>
      </c>
      <c r="AA516" s="1" t="s">
        <v>44</v>
      </c>
      <c r="AB516" s="1">
        <v>0</v>
      </c>
      <c r="AD516" s="1">
        <v>2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</row>
    <row r="517" spans="1:35">
      <c r="A517" t="s">
        <v>1097</v>
      </c>
      <c r="B517" t="s">
        <v>1098</v>
      </c>
      <c r="D517" t="s">
        <v>37</v>
      </c>
      <c r="F517">
        <v>1</v>
      </c>
      <c r="G517">
        <v>1</v>
      </c>
      <c r="H517" t="s">
        <v>38</v>
      </c>
      <c r="I517" t="str">
        <f>IF(ISNUMBER(SEARCH("Renceng",J517)),(K517/10)," ")</f>
        <v> </v>
      </c>
      <c r="J517" t="str">
        <f>IF(ISNUMBER(SEARCH("Rtg",B517)),"Renceng"," ")</f>
        <v> </v>
      </c>
      <c r="K517">
        <v>9</v>
      </c>
      <c r="L517" t="s">
        <v>53</v>
      </c>
      <c r="M517">
        <v>9</v>
      </c>
      <c r="N517" t="s">
        <v>177</v>
      </c>
      <c r="O517">
        <v>900</v>
      </c>
      <c r="P517" t="s">
        <v>41</v>
      </c>
      <c r="Q517" t="s">
        <v>42</v>
      </c>
      <c r="R517" t="s">
        <v>43</v>
      </c>
      <c r="S517" t="s">
        <v>44</v>
      </c>
      <c r="T517" t="s">
        <v>44</v>
      </c>
      <c r="U517" t="s">
        <v>44</v>
      </c>
      <c r="V517" t="s">
        <v>45</v>
      </c>
      <c r="W517" t="s">
        <v>46</v>
      </c>
      <c r="X517" t="s">
        <v>396</v>
      </c>
      <c r="Z517">
        <v>250</v>
      </c>
      <c r="AA517" t="s">
        <v>44</v>
      </c>
      <c r="AB517" s="2">
        <v>18722</v>
      </c>
      <c r="AD517">
        <v>2</v>
      </c>
      <c r="AE517">
        <v>32.9</v>
      </c>
      <c r="AF517">
        <v>16.1</v>
      </c>
      <c r="AG517">
        <v>19.3</v>
      </c>
      <c r="AH517">
        <v>0.01</v>
      </c>
      <c r="AI517">
        <v>2.48</v>
      </c>
    </row>
    <row r="518" hidden="1" spans="1:35">
      <c r="A518" t="s">
        <v>1099</v>
      </c>
      <c r="B518" t="s">
        <v>1100</v>
      </c>
      <c r="D518" t="s">
        <v>37</v>
      </c>
      <c r="F518">
        <v>1</v>
      </c>
      <c r="G518">
        <v>1</v>
      </c>
      <c r="K518">
        <v>1</v>
      </c>
      <c r="L518" t="s">
        <v>53</v>
      </c>
      <c r="M518">
        <v>12</v>
      </c>
      <c r="N518" t="s">
        <v>216</v>
      </c>
      <c r="O518" s="2">
        <v>1200</v>
      </c>
      <c r="P518" t="s">
        <v>41</v>
      </c>
      <c r="Q518" t="s">
        <v>42</v>
      </c>
      <c r="R518" t="s">
        <v>43</v>
      </c>
      <c r="S518" t="s">
        <v>44</v>
      </c>
      <c r="T518" t="s">
        <v>44</v>
      </c>
      <c r="U518" t="s">
        <v>44</v>
      </c>
      <c r="V518" t="s">
        <v>45</v>
      </c>
      <c r="W518" t="s">
        <v>230</v>
      </c>
      <c r="X518" t="s">
        <v>396</v>
      </c>
      <c r="Z518">
        <v>270</v>
      </c>
      <c r="AA518" t="s">
        <v>44</v>
      </c>
      <c r="AB518">
        <v>0</v>
      </c>
      <c r="AD518">
        <v>2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>
      <c r="A519" s="1" t="s">
        <v>1101</v>
      </c>
      <c r="B519" s="1" t="s">
        <v>1102</v>
      </c>
      <c r="D519" s="1" t="s">
        <v>37</v>
      </c>
      <c r="F519" s="1">
        <v>1</v>
      </c>
      <c r="G519" s="1">
        <v>1</v>
      </c>
      <c r="H519" s="1" t="s">
        <v>38</v>
      </c>
      <c r="I519" s="1"/>
      <c r="J519" s="1"/>
      <c r="K519" s="3">
        <v>1800</v>
      </c>
      <c r="L519" s="1" t="s">
        <v>120</v>
      </c>
      <c r="M519" s="1">
        <v>1800</v>
      </c>
      <c r="N519" s="1" t="s">
        <v>395</v>
      </c>
      <c r="O519" s="3">
        <v>180000</v>
      </c>
      <c r="P519" s="1" t="s">
        <v>41</v>
      </c>
      <c r="Q519" s="1" t="s">
        <v>42</v>
      </c>
      <c r="R519" s="1" t="s">
        <v>43</v>
      </c>
      <c r="S519" s="1" t="s">
        <v>44</v>
      </c>
      <c r="T519" s="1" t="s">
        <v>44</v>
      </c>
      <c r="U519" s="1" t="s">
        <v>44</v>
      </c>
      <c r="V519" s="1" t="s">
        <v>45</v>
      </c>
      <c r="W519" s="1" t="s">
        <v>46</v>
      </c>
      <c r="X519" s="1" t="s">
        <v>396</v>
      </c>
      <c r="Z519" s="1">
        <v>12</v>
      </c>
      <c r="AA519" s="1" t="s">
        <v>44</v>
      </c>
      <c r="AB519" s="1">
        <v>0</v>
      </c>
      <c r="AD519" s="1">
        <v>2</v>
      </c>
      <c r="AE519" s="1">
        <v>50.2</v>
      </c>
      <c r="AF519" s="1">
        <v>43</v>
      </c>
      <c r="AG519" s="1">
        <v>64.5</v>
      </c>
      <c r="AH519" s="1">
        <v>0.14</v>
      </c>
      <c r="AI519" s="1">
        <v>27.35</v>
      </c>
    </row>
    <row r="520" hidden="1" spans="1:35">
      <c r="A520" s="1" t="s">
        <v>1103</v>
      </c>
      <c r="B520" s="1" t="s">
        <v>1104</v>
      </c>
      <c r="D520" s="1" t="s">
        <v>37</v>
      </c>
      <c r="F520" s="1">
        <v>1</v>
      </c>
      <c r="G520" s="1">
        <v>1</v>
      </c>
      <c r="H520" s="1"/>
      <c r="I520" s="1"/>
      <c r="J520" s="1"/>
      <c r="K520" s="1">
        <v>1</v>
      </c>
      <c r="L520" s="1" t="s">
        <v>120</v>
      </c>
      <c r="M520" s="1">
        <v>24</v>
      </c>
      <c r="N520" s="1" t="s">
        <v>351</v>
      </c>
      <c r="O520" s="3">
        <v>2400</v>
      </c>
      <c r="P520" s="1" t="s">
        <v>41</v>
      </c>
      <c r="Q520" s="1" t="s">
        <v>42</v>
      </c>
      <c r="R520" s="1" t="s">
        <v>43</v>
      </c>
      <c r="S520" s="1" t="s">
        <v>44</v>
      </c>
      <c r="T520" s="1" t="s">
        <v>44</v>
      </c>
      <c r="U520" s="1" t="s">
        <v>44</v>
      </c>
      <c r="V520" s="1" t="s">
        <v>45</v>
      </c>
      <c r="W520" s="1" t="s">
        <v>46</v>
      </c>
      <c r="X520" s="1" t="s">
        <v>194</v>
      </c>
      <c r="Z520" s="1">
        <v>250</v>
      </c>
      <c r="AA520" s="1" t="s">
        <v>44</v>
      </c>
      <c r="AB520" s="1">
        <v>0</v>
      </c>
      <c r="AD520" s="1">
        <v>2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</row>
    <row r="521" spans="1:35">
      <c r="A521" s="1" t="s">
        <v>1105</v>
      </c>
      <c r="B521" s="1" t="s">
        <v>1106</v>
      </c>
      <c r="D521" s="1" t="s">
        <v>37</v>
      </c>
      <c r="E521" t="s">
        <v>38</v>
      </c>
      <c r="F521" s="1">
        <v>50</v>
      </c>
      <c r="G521" s="1">
        <v>1</v>
      </c>
      <c r="H521" s="1" t="s">
        <v>38</v>
      </c>
      <c r="I521" s="1">
        <f>IF(J521="Renceng",(M521/10),(M521/15))</f>
        <v>5</v>
      </c>
      <c r="J521" s="1" t="s">
        <v>149</v>
      </c>
      <c r="K521" s="1">
        <v>50</v>
      </c>
      <c r="L521" s="1" t="s">
        <v>120</v>
      </c>
      <c r="M521" s="1">
        <v>50</v>
      </c>
      <c r="N521" s="1" t="s">
        <v>205</v>
      </c>
      <c r="O521" s="3">
        <v>5000</v>
      </c>
      <c r="P521" s="1" t="s">
        <v>41</v>
      </c>
      <c r="Q521" s="1" t="s">
        <v>42</v>
      </c>
      <c r="R521" s="1" t="s">
        <v>43</v>
      </c>
      <c r="S521" s="1" t="s">
        <v>44</v>
      </c>
      <c r="T521" s="1" t="s">
        <v>44</v>
      </c>
      <c r="U521" s="1" t="s">
        <v>44</v>
      </c>
      <c r="V521" s="1" t="s">
        <v>45</v>
      </c>
      <c r="W521" s="1" t="s">
        <v>46</v>
      </c>
      <c r="X521" s="1" t="s">
        <v>194</v>
      </c>
      <c r="Z521" s="1">
        <v>60</v>
      </c>
      <c r="AA521" s="1" t="s">
        <v>44</v>
      </c>
      <c r="AB521" s="3">
        <v>4078</v>
      </c>
      <c r="AD521" s="1">
        <v>2</v>
      </c>
      <c r="AE521" s="1">
        <v>30.4</v>
      </c>
      <c r="AF521" s="1">
        <v>19.5</v>
      </c>
      <c r="AG521" s="1">
        <v>20.2</v>
      </c>
      <c r="AH521" s="1">
        <v>0.01</v>
      </c>
      <c r="AI521" s="1">
        <v>3.37</v>
      </c>
    </row>
    <row r="522" spans="1:35">
      <c r="A522" s="1" t="s">
        <v>1107</v>
      </c>
      <c r="B522" s="1" t="s">
        <v>1108</v>
      </c>
      <c r="D522" s="1" t="s">
        <v>37</v>
      </c>
      <c r="F522" s="1">
        <v>1</v>
      </c>
      <c r="G522" s="1">
        <v>1</v>
      </c>
      <c r="H522" s="1" t="s">
        <v>38</v>
      </c>
      <c r="K522" s="1">
        <v>20</v>
      </c>
      <c r="L522" s="1" t="s">
        <v>120</v>
      </c>
      <c r="M522" s="1">
        <v>20</v>
      </c>
      <c r="N522" s="1" t="s">
        <v>223</v>
      </c>
      <c r="O522" s="3">
        <v>2000</v>
      </c>
      <c r="P522" s="1" t="s">
        <v>41</v>
      </c>
      <c r="Q522" s="1" t="s">
        <v>42</v>
      </c>
      <c r="R522" s="1" t="s">
        <v>43</v>
      </c>
      <c r="S522" s="1" t="s">
        <v>44</v>
      </c>
      <c r="T522" s="1" t="s">
        <v>44</v>
      </c>
      <c r="U522" s="1" t="s">
        <v>44</v>
      </c>
      <c r="V522" s="1" t="s">
        <v>45</v>
      </c>
      <c r="W522" s="1" t="s">
        <v>46</v>
      </c>
      <c r="X522" s="1" t="s">
        <v>194</v>
      </c>
      <c r="Z522" s="1">
        <v>165</v>
      </c>
      <c r="AA522" s="1" t="s">
        <v>44</v>
      </c>
      <c r="AB522" s="1">
        <v>734</v>
      </c>
      <c r="AD522" s="1">
        <v>2</v>
      </c>
      <c r="AE522" s="1">
        <v>46.1</v>
      </c>
      <c r="AF522" s="1">
        <v>21.5</v>
      </c>
      <c r="AG522" s="1">
        <v>19.5</v>
      </c>
      <c r="AH522" s="1">
        <v>0.02</v>
      </c>
      <c r="AI522" s="1">
        <v>3.66</v>
      </c>
    </row>
    <row r="523" spans="1:35">
      <c r="A523" s="1" t="s">
        <v>1109</v>
      </c>
      <c r="B523" s="1" t="s">
        <v>1110</v>
      </c>
      <c r="D523" s="1" t="s">
        <v>37</v>
      </c>
      <c r="F523" s="1">
        <v>1</v>
      </c>
      <c r="G523" s="1">
        <v>1</v>
      </c>
      <c r="H523" s="1" t="s">
        <v>38</v>
      </c>
      <c r="I523">
        <f>IF(J523="Renceng",(M523/10),(M523/15))</f>
        <v>10</v>
      </c>
      <c r="J523" t="str">
        <f>IF(ISNUMBER(SEARCH("Rtg",B523)),"Renceng"," ")</f>
        <v>Renceng</v>
      </c>
      <c r="K523" s="1">
        <f>M523/I523</f>
        <v>10</v>
      </c>
      <c r="L523" s="1" t="s">
        <v>120</v>
      </c>
      <c r="M523" s="1">
        <v>100</v>
      </c>
      <c r="N523" s="1" t="s">
        <v>202</v>
      </c>
      <c r="O523" s="3">
        <v>10000</v>
      </c>
      <c r="P523" s="1" t="s">
        <v>41</v>
      </c>
      <c r="Q523" s="1" t="s">
        <v>42</v>
      </c>
      <c r="R523" s="1" t="s">
        <v>43</v>
      </c>
      <c r="S523" s="1" t="s">
        <v>44</v>
      </c>
      <c r="T523" s="1" t="s">
        <v>44</v>
      </c>
      <c r="U523" s="1" t="s">
        <v>44</v>
      </c>
      <c r="V523" s="1" t="s">
        <v>45</v>
      </c>
      <c r="W523" s="1" t="s">
        <v>46</v>
      </c>
      <c r="X523" s="1" t="s">
        <v>430</v>
      </c>
      <c r="Z523" s="1">
        <v>30</v>
      </c>
      <c r="AA523" s="1" t="s">
        <v>44</v>
      </c>
      <c r="AB523" s="1">
        <v>0</v>
      </c>
      <c r="AD523" s="1">
        <v>2</v>
      </c>
      <c r="AE523" s="1">
        <v>39.5</v>
      </c>
      <c r="AF523" s="1">
        <v>28.2</v>
      </c>
      <c r="AG523" s="1">
        <v>21</v>
      </c>
      <c r="AH523" s="1">
        <v>0.02</v>
      </c>
      <c r="AI523" s="1">
        <v>3.49</v>
      </c>
    </row>
    <row r="524" spans="1:35">
      <c r="A524" s="1" t="s">
        <v>1111</v>
      </c>
      <c r="B524" s="1" t="s">
        <v>1112</v>
      </c>
      <c r="D524" s="1" t="s">
        <v>37</v>
      </c>
      <c r="F524" s="1">
        <v>1</v>
      </c>
      <c r="G524" s="1">
        <v>1</v>
      </c>
      <c r="H524" s="1" t="s">
        <v>38</v>
      </c>
      <c r="I524">
        <f>IF(J524="Renceng",(M524/10),(M524/15))</f>
        <v>5</v>
      </c>
      <c r="J524" t="str">
        <f>IF(OR(ISNUMBER(SEARCH("2Bks",B524)),ISNUMBER(SEARCH("5Bks",B524))),"RencengBNS",IF(ISNUMBER(SEARCH("1Box",B524)),"BoxBNS"," "))</f>
        <v>RencengBNS</v>
      </c>
      <c r="K524" s="1">
        <v>75</v>
      </c>
      <c r="L524" s="1" t="s">
        <v>120</v>
      </c>
      <c r="M524" s="1">
        <v>75</v>
      </c>
      <c r="N524" s="1" t="s">
        <v>1113</v>
      </c>
      <c r="O524" s="3">
        <v>7500</v>
      </c>
      <c r="P524" s="1" t="s">
        <v>41</v>
      </c>
      <c r="Q524" s="1" t="s">
        <v>42</v>
      </c>
      <c r="R524" s="1" t="s">
        <v>43</v>
      </c>
      <c r="S524" s="1" t="s">
        <v>44</v>
      </c>
      <c r="T524" s="1" t="s">
        <v>44</v>
      </c>
      <c r="U524" s="1" t="s">
        <v>44</v>
      </c>
      <c r="V524" s="1" t="s">
        <v>45</v>
      </c>
      <c r="W524" s="1" t="s">
        <v>46</v>
      </c>
      <c r="X524" s="1" t="s">
        <v>430</v>
      </c>
      <c r="Z524" s="1">
        <v>60</v>
      </c>
      <c r="AA524" s="1" t="s">
        <v>44</v>
      </c>
      <c r="AB524" s="1">
        <v>0</v>
      </c>
      <c r="AD524" s="1">
        <v>2</v>
      </c>
      <c r="AE524" s="1">
        <v>38.6</v>
      </c>
      <c r="AF524" s="1">
        <v>25.6</v>
      </c>
      <c r="AG524" s="1">
        <v>17.8</v>
      </c>
      <c r="AH524" s="1">
        <v>0.02</v>
      </c>
      <c r="AI524" s="1">
        <v>5.53</v>
      </c>
    </row>
    <row r="525" spans="1:35">
      <c r="A525" s="1" t="s">
        <v>1114</v>
      </c>
      <c r="B525" s="1" t="s">
        <v>1115</v>
      </c>
      <c r="D525" s="1" t="s">
        <v>37</v>
      </c>
      <c r="F525" s="1">
        <v>1</v>
      </c>
      <c r="G525" s="1">
        <v>1</v>
      </c>
      <c r="H525" s="1" t="s">
        <v>38</v>
      </c>
      <c r="I525">
        <f>IF(J525="Renceng",(M525/10),(M525/15))</f>
        <v>20</v>
      </c>
      <c r="J525" t="str">
        <f>IF(OR(ISNUMBER(SEARCH("2Bks",B525)),ISNUMBER(SEARCH("5Bks",B525))),"RencengBNS",IF(ISNUMBER(SEARCH("1Box",B525)),"BoxBNS"," "))</f>
        <v>RencengBNS</v>
      </c>
      <c r="K525" s="1">
        <f>M525/I525</f>
        <v>15</v>
      </c>
      <c r="L525" s="1" t="s">
        <v>120</v>
      </c>
      <c r="M525" s="1">
        <v>300</v>
      </c>
      <c r="N525" s="1" t="s">
        <v>1116</v>
      </c>
      <c r="O525" s="3">
        <v>30000</v>
      </c>
      <c r="P525" s="1" t="s">
        <v>41</v>
      </c>
      <c r="Q525" s="1" t="s">
        <v>42</v>
      </c>
      <c r="R525" s="1" t="s">
        <v>43</v>
      </c>
      <c r="S525" s="1" t="s">
        <v>44</v>
      </c>
      <c r="T525" s="1" t="s">
        <v>44</v>
      </c>
      <c r="U525" s="1" t="s">
        <v>44</v>
      </c>
      <c r="V525" s="1" t="s">
        <v>45</v>
      </c>
      <c r="W525" s="1" t="s">
        <v>46</v>
      </c>
      <c r="X525" s="1" t="s">
        <v>430</v>
      </c>
      <c r="Z525" s="1">
        <v>10</v>
      </c>
      <c r="AA525" s="1" t="s">
        <v>44</v>
      </c>
      <c r="AB525" s="1">
        <v>0</v>
      </c>
      <c r="AD525" s="1">
        <v>2</v>
      </c>
      <c r="AE525" s="1">
        <v>32.9</v>
      </c>
      <c r="AF525" s="1">
        <v>25</v>
      </c>
      <c r="AG525" s="1">
        <v>22.2</v>
      </c>
      <c r="AH525" s="1">
        <v>0.02</v>
      </c>
      <c r="AI525" s="3">
        <v>3000</v>
      </c>
    </row>
    <row r="526" spans="1:35">
      <c r="A526" s="1" t="s">
        <v>1117</v>
      </c>
      <c r="B526" s="1" t="s">
        <v>1118</v>
      </c>
      <c r="D526" s="1" t="s">
        <v>37</v>
      </c>
      <c r="F526" s="1">
        <v>1</v>
      </c>
      <c r="G526" s="1">
        <v>1</v>
      </c>
      <c r="H526" s="1" t="s">
        <v>38</v>
      </c>
      <c r="I526" s="1" t="str">
        <f>IF(ISNUMBER(SEARCH("Renceng",J526)),(K526/10)," ")</f>
        <v> </v>
      </c>
      <c r="J526" s="1" t="str">
        <f>IF(ISNUMBER(SEARCH("Rtg",B526)),"Renceng"," ")</f>
        <v> </v>
      </c>
      <c r="K526" s="1">
        <v>20</v>
      </c>
      <c r="L526" s="1" t="s">
        <v>120</v>
      </c>
      <c r="M526" s="1">
        <v>20</v>
      </c>
      <c r="N526" s="1" t="s">
        <v>223</v>
      </c>
      <c r="O526" s="1">
        <v>1</v>
      </c>
      <c r="P526" s="1" t="s">
        <v>41</v>
      </c>
      <c r="Q526" s="1" t="s">
        <v>42</v>
      </c>
      <c r="R526" s="1" t="s">
        <v>43</v>
      </c>
      <c r="S526" s="1" t="s">
        <v>44</v>
      </c>
      <c r="T526" s="1" t="s">
        <v>44</v>
      </c>
      <c r="U526" s="1" t="s">
        <v>44</v>
      </c>
      <c r="V526" s="1" t="s">
        <v>45</v>
      </c>
      <c r="W526" s="1" t="s">
        <v>46</v>
      </c>
      <c r="X526" s="1" t="s">
        <v>396</v>
      </c>
      <c r="Z526" s="1">
        <v>185</v>
      </c>
      <c r="AA526" s="1" t="s">
        <v>44</v>
      </c>
      <c r="AB526" s="1">
        <v>0</v>
      </c>
      <c r="AD526" s="1">
        <v>2</v>
      </c>
      <c r="AE526" s="1">
        <v>41</v>
      </c>
      <c r="AF526" s="1">
        <v>23.7</v>
      </c>
      <c r="AG526" s="1">
        <v>20</v>
      </c>
      <c r="AH526" s="1">
        <v>0.02</v>
      </c>
      <c r="AI526" s="1">
        <v>0</v>
      </c>
    </row>
    <row r="527" spans="1:35">
      <c r="A527" s="1" t="s">
        <v>1119</v>
      </c>
      <c r="B527" s="1" t="s">
        <v>1120</v>
      </c>
      <c r="D527" s="1" t="s">
        <v>37</v>
      </c>
      <c r="F527" s="1">
        <v>1</v>
      </c>
      <c r="G527" s="1">
        <v>1</v>
      </c>
      <c r="H527" t="s">
        <v>38</v>
      </c>
      <c r="I527" t="str">
        <f>IF(ISNUMBER(SEARCH("Renceng",J527)),(K527/10)," ")</f>
        <v> </v>
      </c>
      <c r="J527" t="str">
        <f>IF(ISNUMBER(SEARCH("Rtg",B527)),"Renceng"," ")</f>
        <v> </v>
      </c>
      <c r="K527" s="1">
        <v>20</v>
      </c>
      <c r="L527" s="1" t="s">
        <v>120</v>
      </c>
      <c r="M527" s="1">
        <v>20</v>
      </c>
      <c r="N527" s="1" t="s">
        <v>223</v>
      </c>
      <c r="O527" s="1">
        <v>1</v>
      </c>
      <c r="P527" s="1" t="s">
        <v>41</v>
      </c>
      <c r="Q527" s="1" t="s">
        <v>42</v>
      </c>
      <c r="R527" s="1" t="s">
        <v>43</v>
      </c>
      <c r="S527" s="1" t="s">
        <v>44</v>
      </c>
      <c r="T527" s="1" t="s">
        <v>44</v>
      </c>
      <c r="U527" s="1" t="s">
        <v>44</v>
      </c>
      <c r="V527" s="1" t="s">
        <v>45</v>
      </c>
      <c r="W527" s="1" t="s">
        <v>46</v>
      </c>
      <c r="X527" s="1" t="s">
        <v>396</v>
      </c>
      <c r="Z527" s="1">
        <v>185</v>
      </c>
      <c r="AA527" s="1" t="s">
        <v>44</v>
      </c>
      <c r="AB527" s="1">
        <v>0</v>
      </c>
      <c r="AD527" s="1">
        <v>2</v>
      </c>
      <c r="AE527" s="1">
        <v>41</v>
      </c>
      <c r="AF527" s="1">
        <v>23.7</v>
      </c>
      <c r="AG527" s="1">
        <v>20</v>
      </c>
      <c r="AH527" s="1">
        <v>0.02</v>
      </c>
      <c r="AI527" s="1">
        <v>0</v>
      </c>
    </row>
    <row r="528" spans="1:35">
      <c r="A528" s="1" t="s">
        <v>1121</v>
      </c>
      <c r="B528" s="1" t="s">
        <v>1122</v>
      </c>
      <c r="D528" s="1" t="s">
        <v>37</v>
      </c>
      <c r="F528" s="1">
        <v>1</v>
      </c>
      <c r="G528" s="1">
        <v>1</v>
      </c>
      <c r="H528" s="1" t="s">
        <v>38</v>
      </c>
      <c r="I528" s="1">
        <f>IF(J528="Renceng",(M528/10),(M528/15))</f>
        <v>12</v>
      </c>
      <c r="J528" s="1" t="s">
        <v>1123</v>
      </c>
      <c r="K528" s="1">
        <f>M528/I528</f>
        <v>15</v>
      </c>
      <c r="L528" s="1" t="s">
        <v>120</v>
      </c>
      <c r="M528" s="1">
        <v>180</v>
      </c>
      <c r="N528" s="1" t="s">
        <v>464</v>
      </c>
      <c r="O528" s="3">
        <v>18000</v>
      </c>
      <c r="P528" s="1" t="s">
        <v>41</v>
      </c>
      <c r="Q528" s="1" t="s">
        <v>42</v>
      </c>
      <c r="R528" s="1" t="s">
        <v>43</v>
      </c>
      <c r="S528" s="1" t="s">
        <v>44</v>
      </c>
      <c r="T528" s="1" t="s">
        <v>44</v>
      </c>
      <c r="U528" s="1" t="s">
        <v>44</v>
      </c>
      <c r="V528" s="1" t="s">
        <v>45</v>
      </c>
      <c r="W528" s="1" t="s">
        <v>151</v>
      </c>
      <c r="X528" s="1" t="s">
        <v>194</v>
      </c>
      <c r="Z528" s="1">
        <v>20</v>
      </c>
      <c r="AA528" s="1" t="s">
        <v>44</v>
      </c>
      <c r="AB528" s="1">
        <v>0</v>
      </c>
      <c r="AD528" s="1">
        <v>2</v>
      </c>
      <c r="AE528" s="1">
        <v>42.5</v>
      </c>
      <c r="AF528" s="1">
        <v>23</v>
      </c>
      <c r="AG528" s="1">
        <v>21.6</v>
      </c>
      <c r="AH528" s="1">
        <v>0.02</v>
      </c>
      <c r="AI528" s="1">
        <v>5.58</v>
      </c>
    </row>
    <row r="529" spans="1:35">
      <c r="A529" s="1" t="s">
        <v>1124</v>
      </c>
      <c r="B529" s="1" t="s">
        <v>1125</v>
      </c>
      <c r="D529" s="1" t="s">
        <v>37</v>
      </c>
      <c r="E529" t="s">
        <v>38</v>
      </c>
      <c r="F529" s="1">
        <v>50</v>
      </c>
      <c r="G529" s="1">
        <v>1</v>
      </c>
      <c r="H529" t="s">
        <v>38</v>
      </c>
      <c r="I529">
        <f>IF(J529="Renceng",(M529/10),(M529/15))</f>
        <v>5</v>
      </c>
      <c r="J529" t="s">
        <v>149</v>
      </c>
      <c r="K529" s="1">
        <v>50</v>
      </c>
      <c r="L529" s="1" t="s">
        <v>120</v>
      </c>
      <c r="M529" s="1">
        <v>50</v>
      </c>
      <c r="N529" s="1" t="s">
        <v>205</v>
      </c>
      <c r="O529" s="3">
        <v>5000</v>
      </c>
      <c r="P529" s="1" t="s">
        <v>41</v>
      </c>
      <c r="Q529" s="1" t="s">
        <v>42</v>
      </c>
      <c r="R529" s="1" t="s">
        <v>43</v>
      </c>
      <c r="S529" s="1" t="s">
        <v>44</v>
      </c>
      <c r="T529" s="1" t="s">
        <v>44</v>
      </c>
      <c r="U529" s="1" t="s">
        <v>44</v>
      </c>
      <c r="V529" s="1" t="s">
        <v>45</v>
      </c>
      <c r="W529" s="1" t="s">
        <v>46</v>
      </c>
      <c r="X529" s="1" t="s">
        <v>194</v>
      </c>
      <c r="Z529" s="1">
        <v>60</v>
      </c>
      <c r="AA529" s="1" t="s">
        <v>44</v>
      </c>
      <c r="AB529" s="1">
        <v>0</v>
      </c>
      <c r="AD529" s="1">
        <v>2</v>
      </c>
      <c r="AE529" s="1">
        <v>38.6</v>
      </c>
      <c r="AF529" s="1">
        <v>25.6</v>
      </c>
      <c r="AG529" s="1">
        <v>17.8</v>
      </c>
      <c r="AH529" s="1">
        <v>0.02</v>
      </c>
      <c r="AI529" s="1">
        <v>3.55</v>
      </c>
    </row>
    <row r="530" spans="1:35">
      <c r="A530" s="1" t="s">
        <v>1126</v>
      </c>
      <c r="B530" s="1" t="s">
        <v>1127</v>
      </c>
      <c r="D530" s="1" t="s">
        <v>37</v>
      </c>
      <c r="F530" s="1">
        <v>1</v>
      </c>
      <c r="G530" s="1">
        <v>1</v>
      </c>
      <c r="H530" s="1" t="s">
        <v>38</v>
      </c>
      <c r="I530">
        <f>IF(J530="Renceng",(M530/10),(M530/15))</f>
        <v>12</v>
      </c>
      <c r="J530" t="s">
        <v>1123</v>
      </c>
      <c r="K530" s="1">
        <f>M530/I530</f>
        <v>15</v>
      </c>
      <c r="L530" s="1" t="s">
        <v>120</v>
      </c>
      <c r="M530" s="1">
        <v>180</v>
      </c>
      <c r="N530" s="1" t="s">
        <v>464</v>
      </c>
      <c r="O530" s="3">
        <v>18000</v>
      </c>
      <c r="P530" s="1" t="s">
        <v>41</v>
      </c>
      <c r="Q530" s="1" t="s">
        <v>42</v>
      </c>
      <c r="R530" s="1" t="s">
        <v>43</v>
      </c>
      <c r="S530" s="1" t="s">
        <v>44</v>
      </c>
      <c r="T530" s="1" t="s">
        <v>44</v>
      </c>
      <c r="U530" s="1" t="s">
        <v>44</v>
      </c>
      <c r="V530" s="1" t="s">
        <v>45</v>
      </c>
      <c r="W530" s="1" t="s">
        <v>151</v>
      </c>
      <c r="X530" s="1" t="s">
        <v>461</v>
      </c>
      <c r="Z530" s="1">
        <v>25</v>
      </c>
      <c r="AA530" s="1" t="s">
        <v>44</v>
      </c>
      <c r="AB530" s="1">
        <v>270</v>
      </c>
      <c r="AD530" s="1">
        <v>2</v>
      </c>
      <c r="AE530" s="1">
        <v>38.6</v>
      </c>
      <c r="AF530" s="1">
        <v>25.6</v>
      </c>
      <c r="AG530" s="1">
        <v>17.8</v>
      </c>
      <c r="AH530" s="1">
        <v>0.02</v>
      </c>
      <c r="AI530" s="1">
        <v>5.52</v>
      </c>
    </row>
    <row r="531" spans="1:35">
      <c r="A531" s="1" t="s">
        <v>1128</v>
      </c>
      <c r="B531" s="1" t="s">
        <v>1129</v>
      </c>
      <c r="D531" s="1" t="s">
        <v>37</v>
      </c>
      <c r="E531" t="s">
        <v>38</v>
      </c>
      <c r="F531" s="1">
        <v>144</v>
      </c>
      <c r="G531" s="1">
        <v>1</v>
      </c>
      <c r="H531" s="1" t="s">
        <v>38</v>
      </c>
      <c r="I531" s="1">
        <v>12</v>
      </c>
      <c r="J531" s="1" t="str">
        <f>IF(OR(ISNUMBER(SEARCH("2Bks",B531)),ISNUMBER(SEARCH("5Bks",B531))),"RencengBNS",IF(ISNUMBER(SEARCH("1Box",B531)),"BoxBNS"," "))</f>
        <v>RencengBNS</v>
      </c>
      <c r="K531" s="1">
        <f>M531/I531</f>
        <v>12</v>
      </c>
      <c r="L531" s="1" t="s">
        <v>120</v>
      </c>
      <c r="M531" s="1">
        <v>144</v>
      </c>
      <c r="N531" s="1" t="s">
        <v>1130</v>
      </c>
      <c r="O531" s="1">
        <v>1</v>
      </c>
      <c r="P531" s="1" t="s">
        <v>41</v>
      </c>
      <c r="Q531" s="1" t="s">
        <v>42</v>
      </c>
      <c r="R531" s="1" t="s">
        <v>44</v>
      </c>
      <c r="S531" s="1" t="s">
        <v>44</v>
      </c>
      <c r="T531" s="1" t="s">
        <v>44</v>
      </c>
      <c r="U531" s="1" t="s">
        <v>44</v>
      </c>
      <c r="V531" s="1" t="s">
        <v>1131</v>
      </c>
      <c r="W531" s="1" t="s">
        <v>1132</v>
      </c>
      <c r="X531" s="1" t="s">
        <v>1133</v>
      </c>
      <c r="Z531" s="1">
        <v>13</v>
      </c>
      <c r="AA531" s="1" t="s">
        <v>44</v>
      </c>
      <c r="AB531" s="3">
        <v>6400</v>
      </c>
      <c r="AD531" s="1">
        <v>2</v>
      </c>
      <c r="AE531" s="1">
        <v>42.5</v>
      </c>
      <c r="AF531" s="1">
        <v>23</v>
      </c>
      <c r="AG531" s="1">
        <v>21.6</v>
      </c>
      <c r="AH531" s="1">
        <v>0.02</v>
      </c>
      <c r="AI531" s="1">
        <v>5.59</v>
      </c>
    </row>
    <row r="532" spans="1:35">
      <c r="A532" s="1" t="s">
        <v>1134</v>
      </c>
      <c r="B532" s="1" t="s">
        <v>1135</v>
      </c>
      <c r="D532" s="1" t="s">
        <v>37</v>
      </c>
      <c r="F532" s="1">
        <v>1</v>
      </c>
      <c r="G532" s="1">
        <v>1</v>
      </c>
      <c r="H532" s="1" t="s">
        <v>38</v>
      </c>
      <c r="I532" s="1">
        <f>IF(J532="Renceng",(M532/10),(M532/15))</f>
        <v>12</v>
      </c>
      <c r="J532" s="1" t="s">
        <v>1123</v>
      </c>
      <c r="K532" s="1">
        <f>M532/I532</f>
        <v>15</v>
      </c>
      <c r="L532" s="1" t="s">
        <v>120</v>
      </c>
      <c r="M532" s="1">
        <v>180</v>
      </c>
      <c r="N532" s="1" t="s">
        <v>464</v>
      </c>
      <c r="O532" s="1">
        <v>1</v>
      </c>
      <c r="P532" s="1" t="s">
        <v>41</v>
      </c>
      <c r="Q532" s="1" t="s">
        <v>42</v>
      </c>
      <c r="R532" s="1" t="s">
        <v>44</v>
      </c>
      <c r="S532" s="1" t="s">
        <v>44</v>
      </c>
      <c r="T532" s="1" t="s">
        <v>44</v>
      </c>
      <c r="U532" s="1" t="s">
        <v>44</v>
      </c>
      <c r="V532" s="1" t="s">
        <v>45</v>
      </c>
      <c r="W532" s="1" t="s">
        <v>230</v>
      </c>
      <c r="X532" s="1" t="s">
        <v>1136</v>
      </c>
      <c r="Z532" s="1">
        <v>23</v>
      </c>
      <c r="AA532" s="1" t="s">
        <v>44</v>
      </c>
      <c r="AB532" s="3">
        <v>38722</v>
      </c>
      <c r="AD532" s="1">
        <v>2</v>
      </c>
      <c r="AE532" s="1">
        <v>38.6</v>
      </c>
      <c r="AF532" s="1">
        <v>25.6</v>
      </c>
      <c r="AG532" s="1">
        <v>17.8</v>
      </c>
      <c r="AH532" s="1">
        <v>0.02</v>
      </c>
      <c r="AI532" s="1">
        <v>5.53</v>
      </c>
    </row>
    <row r="533" spans="1:35">
      <c r="A533" s="1" t="s">
        <v>1137</v>
      </c>
      <c r="B533" s="1" t="s">
        <v>1138</v>
      </c>
      <c r="D533" s="1" t="s">
        <v>37</v>
      </c>
      <c r="F533" s="1">
        <v>1</v>
      </c>
      <c r="G533" s="1">
        <v>1</v>
      </c>
      <c r="H533" s="1" t="s">
        <v>38</v>
      </c>
      <c r="I533" s="1">
        <f>IF(J533="Renceng",(M533/10),(M533/15))</f>
        <v>12</v>
      </c>
      <c r="J533" s="1" t="s">
        <v>1123</v>
      </c>
      <c r="K533" s="1">
        <f>M533/I533</f>
        <v>15</v>
      </c>
      <c r="L533" s="1" t="s">
        <v>120</v>
      </c>
      <c r="M533" s="1">
        <v>180</v>
      </c>
      <c r="N533" s="1" t="s">
        <v>464</v>
      </c>
      <c r="O533" s="3">
        <v>18000</v>
      </c>
      <c r="P533" s="1" t="s">
        <v>41</v>
      </c>
      <c r="Q533" s="1" t="s">
        <v>42</v>
      </c>
      <c r="R533" s="1" t="s">
        <v>44</v>
      </c>
      <c r="S533" s="1" t="s">
        <v>44</v>
      </c>
      <c r="T533" s="1" t="s">
        <v>44</v>
      </c>
      <c r="U533" s="1" t="s">
        <v>44</v>
      </c>
      <c r="V533" s="1" t="s">
        <v>45</v>
      </c>
      <c r="W533" s="1" t="s">
        <v>230</v>
      </c>
      <c r="X533" s="1" t="s">
        <v>1136</v>
      </c>
      <c r="Z533" s="1">
        <v>27</v>
      </c>
      <c r="AA533" s="1" t="s">
        <v>44</v>
      </c>
      <c r="AB533" s="3">
        <v>36087</v>
      </c>
      <c r="AD533" s="1">
        <v>2</v>
      </c>
      <c r="AE533" s="1">
        <v>38.6</v>
      </c>
      <c r="AF533" s="1">
        <v>25.6</v>
      </c>
      <c r="AG533" s="1">
        <v>17.8</v>
      </c>
      <c r="AH533" s="1">
        <v>0.02</v>
      </c>
      <c r="AI533" s="1">
        <v>5.53</v>
      </c>
    </row>
    <row r="534" hidden="1" spans="1:35">
      <c r="A534" s="1" t="s">
        <v>1139</v>
      </c>
      <c r="B534" s="1" t="s">
        <v>1140</v>
      </c>
      <c r="D534" s="1" t="s">
        <v>37</v>
      </c>
      <c r="F534" s="1">
        <v>1</v>
      </c>
      <c r="G534" s="1">
        <v>1</v>
      </c>
      <c r="H534" s="1"/>
      <c r="I534" s="1"/>
      <c r="J534" s="1"/>
      <c r="K534" s="1">
        <v>1</v>
      </c>
      <c r="L534" s="1" t="s">
        <v>120</v>
      </c>
      <c r="M534" s="1">
        <v>900</v>
      </c>
      <c r="N534" s="1" t="s">
        <v>389</v>
      </c>
      <c r="O534" s="3">
        <v>90000</v>
      </c>
      <c r="P534" s="1" t="s">
        <v>41</v>
      </c>
      <c r="Q534" s="1" t="s">
        <v>42</v>
      </c>
      <c r="R534" s="1" t="s">
        <v>43</v>
      </c>
      <c r="S534" s="1" t="s">
        <v>44</v>
      </c>
      <c r="T534" s="1" t="s">
        <v>44</v>
      </c>
      <c r="U534" s="1" t="s">
        <v>44</v>
      </c>
      <c r="V534" s="1" t="s">
        <v>45</v>
      </c>
      <c r="W534" s="1" t="s">
        <v>46</v>
      </c>
      <c r="X534" s="1" t="s">
        <v>390</v>
      </c>
      <c r="Z534" s="1">
        <v>10</v>
      </c>
      <c r="AA534" s="1" t="s">
        <v>44</v>
      </c>
      <c r="AB534" s="1">
        <v>0</v>
      </c>
      <c r="AD534" s="1">
        <v>2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</row>
    <row r="535" spans="1:35">
      <c r="A535" s="1" t="s">
        <v>1141</v>
      </c>
      <c r="B535" s="1" t="s">
        <v>1142</v>
      </c>
      <c r="D535" s="1" t="s">
        <v>37</v>
      </c>
      <c r="F535" s="1">
        <v>1</v>
      </c>
      <c r="G535" s="1">
        <v>1</v>
      </c>
      <c r="H535" t="s">
        <v>38</v>
      </c>
      <c r="I535">
        <f t="shared" ref="I535:I548" si="7">IF(J535="Renceng",(M535/10),(M535/15))</f>
        <v>12</v>
      </c>
      <c r="J535" t="str">
        <f>IF(OR(ISNUMBER(SEARCH("2Bks",B535)),ISNUMBER(SEARCH("5Bks",B535))),"RencengBNS",IF(ISNUMBER(SEARCH("1Box",B535)),"BoxBNS"," "))</f>
        <v>RencengBNS</v>
      </c>
      <c r="K535" s="1">
        <f t="shared" ref="K535:K548" si="8">M535/I535</f>
        <v>15</v>
      </c>
      <c r="L535" s="1" t="s">
        <v>120</v>
      </c>
      <c r="M535" s="1">
        <v>180</v>
      </c>
      <c r="N535" s="1" t="s">
        <v>464</v>
      </c>
      <c r="O535" s="3">
        <v>18000</v>
      </c>
      <c r="P535" s="1" t="s">
        <v>41</v>
      </c>
      <c r="Q535" s="1" t="s">
        <v>42</v>
      </c>
      <c r="R535" s="1" t="s">
        <v>43</v>
      </c>
      <c r="S535" s="1" t="s">
        <v>44</v>
      </c>
      <c r="T535" s="1" t="s">
        <v>44</v>
      </c>
      <c r="U535" s="1" t="s">
        <v>44</v>
      </c>
      <c r="V535" s="1" t="s">
        <v>45</v>
      </c>
      <c r="W535" s="1" t="s">
        <v>230</v>
      </c>
      <c r="X535" s="1" t="s">
        <v>396</v>
      </c>
      <c r="Z535" s="1">
        <v>23</v>
      </c>
      <c r="AA535" s="1" t="s">
        <v>44</v>
      </c>
      <c r="AB535" s="3">
        <v>2745</v>
      </c>
      <c r="AD535" s="1">
        <v>2</v>
      </c>
      <c r="AE535" s="1">
        <v>32</v>
      </c>
      <c r="AF535" s="1">
        <v>21.7</v>
      </c>
      <c r="AG535" s="1">
        <v>23.8</v>
      </c>
      <c r="AH535" s="1">
        <v>0.02</v>
      </c>
      <c r="AI535" s="1">
        <v>3.27</v>
      </c>
    </row>
    <row r="536" spans="1:35">
      <c r="A536" s="1" t="s">
        <v>1143</v>
      </c>
      <c r="B536" s="1" t="s">
        <v>1144</v>
      </c>
      <c r="D536" s="1" t="s">
        <v>37</v>
      </c>
      <c r="F536" s="1">
        <v>1</v>
      </c>
      <c r="G536" s="1">
        <v>1</v>
      </c>
      <c r="H536" s="1" t="s">
        <v>38</v>
      </c>
      <c r="I536" s="1">
        <f t="shared" si="7"/>
        <v>25</v>
      </c>
      <c r="J536" s="1" t="s">
        <v>1123</v>
      </c>
      <c r="K536" s="1">
        <f t="shared" si="8"/>
        <v>15</v>
      </c>
      <c r="L536" s="1" t="s">
        <v>120</v>
      </c>
      <c r="M536" s="1">
        <v>375</v>
      </c>
      <c r="N536" s="1" t="s">
        <v>469</v>
      </c>
      <c r="O536" s="3">
        <v>37500</v>
      </c>
      <c r="P536" s="1" t="s">
        <v>41</v>
      </c>
      <c r="Q536" s="1" t="s">
        <v>42</v>
      </c>
      <c r="R536" s="1" t="s">
        <v>43</v>
      </c>
      <c r="S536" s="1" t="s">
        <v>44</v>
      </c>
      <c r="T536" s="1" t="s">
        <v>44</v>
      </c>
      <c r="U536" s="1" t="s">
        <v>44</v>
      </c>
      <c r="V536" s="1" t="s">
        <v>161</v>
      </c>
      <c r="W536" s="1" t="s">
        <v>162</v>
      </c>
      <c r="X536" s="1" t="s">
        <v>163</v>
      </c>
      <c r="Z536" s="1">
        <v>20</v>
      </c>
      <c r="AA536" s="1" t="s">
        <v>44</v>
      </c>
      <c r="AB536" s="1">
        <v>0</v>
      </c>
      <c r="AD536" s="1">
        <v>2</v>
      </c>
      <c r="AE536" s="1">
        <v>40.4</v>
      </c>
      <c r="AF536" s="1">
        <v>33</v>
      </c>
      <c r="AG536" s="1">
        <v>23.3</v>
      </c>
      <c r="AH536" s="1">
        <v>0.03</v>
      </c>
      <c r="AI536" s="1">
        <v>8.34</v>
      </c>
    </row>
    <row r="537" spans="1:35">
      <c r="A537" s="1" t="s">
        <v>1145</v>
      </c>
      <c r="B537" s="1" t="s">
        <v>1146</v>
      </c>
      <c r="D537" s="1" t="s">
        <v>37</v>
      </c>
      <c r="F537" s="1">
        <v>1</v>
      </c>
      <c r="G537" s="1">
        <v>1</v>
      </c>
      <c r="H537" t="s">
        <v>38</v>
      </c>
      <c r="I537">
        <f t="shared" si="7"/>
        <v>25</v>
      </c>
      <c r="J537" t="str">
        <f>IF(OR(ISNUMBER(SEARCH("2Bks",B537)),ISNUMBER(SEARCH("5Bks",B537))),"RencengBNS",IF(ISNUMBER(SEARCH("1Box",B537)),"BoxBNS"," "))</f>
        <v>RencengBNS</v>
      </c>
      <c r="K537" s="1">
        <f t="shared" si="8"/>
        <v>15</v>
      </c>
      <c r="L537" s="1" t="s">
        <v>120</v>
      </c>
      <c r="M537" s="1">
        <v>375</v>
      </c>
      <c r="N537" s="1" t="s">
        <v>469</v>
      </c>
      <c r="O537" s="3">
        <v>37500</v>
      </c>
      <c r="P537" s="1" t="s">
        <v>41</v>
      </c>
      <c r="Q537" s="1" t="s">
        <v>42</v>
      </c>
      <c r="R537" s="1" t="s">
        <v>43</v>
      </c>
      <c r="S537" s="1" t="s">
        <v>44</v>
      </c>
      <c r="T537" s="1" t="s">
        <v>44</v>
      </c>
      <c r="U537" s="1" t="s">
        <v>44</v>
      </c>
      <c r="V537" s="1" t="s">
        <v>161</v>
      </c>
      <c r="W537" s="1" t="s">
        <v>162</v>
      </c>
      <c r="X537" s="1" t="s">
        <v>163</v>
      </c>
      <c r="Z537" s="1">
        <v>20</v>
      </c>
      <c r="AA537" s="1" t="s">
        <v>44</v>
      </c>
      <c r="AB537" s="1">
        <v>0</v>
      </c>
      <c r="AD537" s="1">
        <v>2</v>
      </c>
      <c r="AE537" s="1">
        <v>40.4</v>
      </c>
      <c r="AF537" s="1">
        <v>33</v>
      </c>
      <c r="AG537" s="1">
        <v>23.3</v>
      </c>
      <c r="AH537" s="1">
        <v>0.03</v>
      </c>
      <c r="AI537" s="1">
        <v>8.36</v>
      </c>
    </row>
    <row r="538" spans="1:35">
      <c r="A538" s="1" t="s">
        <v>1147</v>
      </c>
      <c r="B538" s="1" t="s">
        <v>1148</v>
      </c>
      <c r="D538" s="1" t="s">
        <v>37</v>
      </c>
      <c r="F538" s="1">
        <v>1</v>
      </c>
      <c r="G538" s="1">
        <v>1</v>
      </c>
      <c r="H538" s="1" t="s">
        <v>38</v>
      </c>
      <c r="I538">
        <f t="shared" si="7"/>
        <v>8</v>
      </c>
      <c r="J538" t="str">
        <f>IF(N538="SACHET80","Renceng",IF(N538="SACHET120","RencengBNS"," "))</f>
        <v>RencengBNS</v>
      </c>
      <c r="K538" s="1">
        <f t="shared" si="8"/>
        <v>15</v>
      </c>
      <c r="L538" s="1" t="s">
        <v>120</v>
      </c>
      <c r="M538" s="1">
        <v>120</v>
      </c>
      <c r="N538" s="1" t="s">
        <v>229</v>
      </c>
      <c r="O538" s="3">
        <v>12000</v>
      </c>
      <c r="P538" s="1" t="s">
        <v>41</v>
      </c>
      <c r="Q538" s="1" t="s">
        <v>42</v>
      </c>
      <c r="R538" s="1" t="s">
        <v>43</v>
      </c>
      <c r="S538" s="1" t="s">
        <v>44</v>
      </c>
      <c r="T538" s="1" t="s">
        <v>44</v>
      </c>
      <c r="U538" s="1" t="s">
        <v>44</v>
      </c>
      <c r="V538" s="1" t="s">
        <v>106</v>
      </c>
      <c r="W538" s="1" t="s">
        <v>107</v>
      </c>
      <c r="X538" s="1" t="s">
        <v>108</v>
      </c>
      <c r="Z538" s="1">
        <v>25</v>
      </c>
      <c r="AA538" s="1" t="s">
        <v>44</v>
      </c>
      <c r="AB538" s="3">
        <v>2190</v>
      </c>
      <c r="AD538" s="1">
        <v>2</v>
      </c>
      <c r="AE538" s="1">
        <v>31.1</v>
      </c>
      <c r="AF538" s="1">
        <v>30.4</v>
      </c>
      <c r="AG538" s="1">
        <v>25</v>
      </c>
      <c r="AH538" s="1">
        <v>0.02</v>
      </c>
      <c r="AI538" s="1">
        <v>5.8</v>
      </c>
    </row>
    <row r="539" spans="1:35">
      <c r="A539" s="1" t="s">
        <v>1149</v>
      </c>
      <c r="B539" s="1" t="s">
        <v>1150</v>
      </c>
      <c r="D539" s="1" t="s">
        <v>37</v>
      </c>
      <c r="F539" s="1">
        <v>1</v>
      </c>
      <c r="G539" s="1">
        <v>1</v>
      </c>
      <c r="H539" s="1" t="s">
        <v>38</v>
      </c>
      <c r="I539" s="1">
        <f t="shared" si="7"/>
        <v>8</v>
      </c>
      <c r="J539" s="1" t="str">
        <f>IF(N539="SACHET80","Renceng",IF(N539="SACHET120","RencengBNS"," "))</f>
        <v>RencengBNS</v>
      </c>
      <c r="K539" s="1">
        <f t="shared" si="8"/>
        <v>15</v>
      </c>
      <c r="L539" s="1" t="s">
        <v>120</v>
      </c>
      <c r="M539" s="1">
        <v>120</v>
      </c>
      <c r="N539" s="1" t="s">
        <v>229</v>
      </c>
      <c r="O539" s="3">
        <v>12000</v>
      </c>
      <c r="P539" s="1" t="s">
        <v>41</v>
      </c>
      <c r="Q539" s="1" t="s">
        <v>42</v>
      </c>
      <c r="R539" s="1" t="s">
        <v>43</v>
      </c>
      <c r="S539" s="1" t="s">
        <v>44</v>
      </c>
      <c r="T539" s="1" t="s">
        <v>44</v>
      </c>
      <c r="U539" s="1" t="s">
        <v>44</v>
      </c>
      <c r="V539" s="1" t="s">
        <v>106</v>
      </c>
      <c r="W539" s="1" t="s">
        <v>107</v>
      </c>
      <c r="X539" s="1" t="s">
        <v>108</v>
      </c>
      <c r="Z539" s="1">
        <v>25</v>
      </c>
      <c r="AA539" s="1" t="s">
        <v>44</v>
      </c>
      <c r="AB539" s="3">
        <v>2230</v>
      </c>
      <c r="AD539" s="1">
        <v>2</v>
      </c>
      <c r="AE539" s="1">
        <v>42.5</v>
      </c>
      <c r="AF539" s="1">
        <v>23</v>
      </c>
      <c r="AG539" s="1">
        <v>21.6</v>
      </c>
      <c r="AH539" s="1">
        <v>0.02</v>
      </c>
      <c r="AI539" s="1">
        <v>5.58</v>
      </c>
    </row>
    <row r="540" spans="1:35">
      <c r="A540" s="1" t="s">
        <v>1151</v>
      </c>
      <c r="B540" s="1" t="s">
        <v>1152</v>
      </c>
      <c r="D540" s="1" t="s">
        <v>37</v>
      </c>
      <c r="F540" s="1">
        <v>1</v>
      </c>
      <c r="G540" s="1">
        <v>1</v>
      </c>
      <c r="H540" s="1" t="s">
        <v>38</v>
      </c>
      <c r="I540" s="1">
        <f t="shared" si="7"/>
        <v>20</v>
      </c>
      <c r="J540" s="1" t="str">
        <f>IF(OR(ISNUMBER(SEARCH("2Bks",B540)),ISNUMBER(SEARCH("5Bks",B540))),"RencengBNS",IF(ISNUMBER(SEARCH("1Box",B540)),"BoxBNS"," "))</f>
        <v>RencengBNS</v>
      </c>
      <c r="K540" s="1">
        <f t="shared" si="8"/>
        <v>15</v>
      </c>
      <c r="L540" s="1" t="s">
        <v>120</v>
      </c>
      <c r="M540" s="1">
        <v>300</v>
      </c>
      <c r="N540" s="1" t="s">
        <v>1116</v>
      </c>
      <c r="O540" s="3">
        <v>30000</v>
      </c>
      <c r="P540" s="1" t="s">
        <v>41</v>
      </c>
      <c r="Q540" s="1" t="s">
        <v>42</v>
      </c>
      <c r="R540" s="1" t="s">
        <v>43</v>
      </c>
      <c r="S540" s="1" t="s">
        <v>44</v>
      </c>
      <c r="T540" s="1" t="s">
        <v>44</v>
      </c>
      <c r="U540" s="1" t="s">
        <v>44</v>
      </c>
      <c r="V540" s="1" t="s">
        <v>45</v>
      </c>
      <c r="W540" s="1" t="s">
        <v>46</v>
      </c>
      <c r="X540" s="1" t="s">
        <v>430</v>
      </c>
      <c r="Z540" s="1">
        <v>7</v>
      </c>
      <c r="AA540" s="1" t="s">
        <v>44</v>
      </c>
      <c r="AB540" s="1">
        <v>0</v>
      </c>
      <c r="AD540" s="1">
        <v>2</v>
      </c>
      <c r="AE540" s="1">
        <v>32.9</v>
      </c>
      <c r="AF540" s="1">
        <v>25</v>
      </c>
      <c r="AG540" s="1">
        <v>22.2</v>
      </c>
      <c r="AH540" s="1">
        <v>0.02</v>
      </c>
      <c r="AI540" s="1">
        <v>2.52</v>
      </c>
    </row>
    <row r="541" spans="1:35">
      <c r="A541" s="1" t="s">
        <v>1153</v>
      </c>
      <c r="B541" s="1" t="s">
        <v>1154</v>
      </c>
      <c r="D541" s="1" t="s">
        <v>37</v>
      </c>
      <c r="F541" s="1">
        <v>1</v>
      </c>
      <c r="G541" s="1">
        <v>1</v>
      </c>
      <c r="H541" s="1" t="s">
        <v>38</v>
      </c>
      <c r="I541" s="1">
        <f t="shared" si="7"/>
        <v>20</v>
      </c>
      <c r="J541" s="1" t="s">
        <v>149</v>
      </c>
      <c r="K541" s="1">
        <f t="shared" si="8"/>
        <v>10</v>
      </c>
      <c r="L541" s="1" t="s">
        <v>120</v>
      </c>
      <c r="M541" s="1">
        <v>200</v>
      </c>
      <c r="N541" s="1" t="s">
        <v>199</v>
      </c>
      <c r="O541" s="3">
        <v>20000</v>
      </c>
      <c r="P541" s="1" t="s">
        <v>41</v>
      </c>
      <c r="Q541" s="1" t="s">
        <v>42</v>
      </c>
      <c r="R541" s="1" t="s">
        <v>43</v>
      </c>
      <c r="S541" s="1" t="s">
        <v>44</v>
      </c>
      <c r="T541" s="1" t="s">
        <v>44</v>
      </c>
      <c r="U541" s="1" t="s">
        <v>44</v>
      </c>
      <c r="V541" s="1" t="s">
        <v>45</v>
      </c>
      <c r="W541" s="1" t="s">
        <v>46</v>
      </c>
      <c r="X541" s="1" t="s">
        <v>430</v>
      </c>
      <c r="Z541" s="1">
        <v>7</v>
      </c>
      <c r="AA541" s="1" t="s">
        <v>44</v>
      </c>
      <c r="AB541" s="3">
        <v>1430200</v>
      </c>
      <c r="AD541" s="1">
        <v>2</v>
      </c>
      <c r="AE541" s="1">
        <v>35.8</v>
      </c>
      <c r="AF541" s="1">
        <v>31.7</v>
      </c>
      <c r="AG541" s="1">
        <v>20.9</v>
      </c>
      <c r="AH541" s="1">
        <v>0.02</v>
      </c>
      <c r="AI541" s="1">
        <v>5.48</v>
      </c>
    </row>
    <row r="542" spans="1:35">
      <c r="A542" s="1" t="s">
        <v>1155</v>
      </c>
      <c r="B542" s="1" t="s">
        <v>1156</v>
      </c>
      <c r="D542" s="1" t="s">
        <v>37</v>
      </c>
      <c r="F542" s="1">
        <v>1</v>
      </c>
      <c r="G542" s="1">
        <v>1</v>
      </c>
      <c r="H542" s="1" t="s">
        <v>38</v>
      </c>
      <c r="I542" s="1">
        <f t="shared" si="7"/>
        <v>12</v>
      </c>
      <c r="J542" s="1" t="str">
        <f>IF(OR(ISNUMBER(SEARCH("2Bks",B542)),ISNUMBER(SEARCH("5Bks",B542))),"RencengBNS",IF(ISNUMBER(SEARCH("1Box",B542)),"BoxBNS"," "))</f>
        <v>RencengBNS</v>
      </c>
      <c r="K542" s="1">
        <f t="shared" si="8"/>
        <v>15</v>
      </c>
      <c r="L542" s="1" t="s">
        <v>120</v>
      </c>
      <c r="M542" s="1">
        <v>180</v>
      </c>
      <c r="N542" s="1" t="s">
        <v>464</v>
      </c>
      <c r="O542" s="3">
        <v>18000</v>
      </c>
      <c r="P542" s="1" t="s">
        <v>41</v>
      </c>
      <c r="Q542" s="1" t="s">
        <v>42</v>
      </c>
      <c r="R542" s="1" t="s">
        <v>43</v>
      </c>
      <c r="S542" s="1" t="s">
        <v>44</v>
      </c>
      <c r="T542" s="1" t="s">
        <v>44</v>
      </c>
      <c r="U542" s="1" t="s">
        <v>44</v>
      </c>
      <c r="V542" s="1" t="s">
        <v>45</v>
      </c>
      <c r="W542" s="1" t="s">
        <v>230</v>
      </c>
      <c r="X542" s="1" t="s">
        <v>396</v>
      </c>
      <c r="Z542" s="1">
        <v>27</v>
      </c>
      <c r="AA542" s="1" t="s">
        <v>44</v>
      </c>
      <c r="AB542" s="3">
        <v>27645</v>
      </c>
      <c r="AD542" s="1">
        <v>2</v>
      </c>
      <c r="AE542" s="1">
        <v>39.5</v>
      </c>
      <c r="AF542" s="1">
        <v>28.2</v>
      </c>
      <c r="AG542" s="1">
        <v>21</v>
      </c>
      <c r="AH542" s="1">
        <v>0.02</v>
      </c>
      <c r="AI542" s="1">
        <v>4.86</v>
      </c>
    </row>
    <row r="543" spans="1:35">
      <c r="A543" s="1" t="s">
        <v>1157</v>
      </c>
      <c r="B543" s="1" t="s">
        <v>1158</v>
      </c>
      <c r="D543" s="1" t="s">
        <v>37</v>
      </c>
      <c r="F543" s="1">
        <v>1</v>
      </c>
      <c r="G543" s="1">
        <v>1</v>
      </c>
      <c r="H543" s="1" t="s">
        <v>38</v>
      </c>
      <c r="I543">
        <f t="shared" si="7"/>
        <v>12</v>
      </c>
      <c r="J543" t="str">
        <f>IF(OR(ISNUMBER(SEARCH("2Bks",B543)),ISNUMBER(SEARCH("5Bks",B543))),"RencengBNS",IF(ISNUMBER(SEARCH("1Box",B543)),"BoxBNS"," "))</f>
        <v>RencengBNS</v>
      </c>
      <c r="K543" s="1">
        <f t="shared" si="8"/>
        <v>15</v>
      </c>
      <c r="L543" s="1" t="s">
        <v>120</v>
      </c>
      <c r="M543" s="1">
        <v>180</v>
      </c>
      <c r="N543" s="1" t="s">
        <v>464</v>
      </c>
      <c r="O543" s="3">
        <v>18000</v>
      </c>
      <c r="P543" s="1" t="s">
        <v>41</v>
      </c>
      <c r="Q543" s="1" t="s">
        <v>42</v>
      </c>
      <c r="R543" s="1" t="s">
        <v>43</v>
      </c>
      <c r="S543" s="1" t="s">
        <v>44</v>
      </c>
      <c r="T543" s="1" t="s">
        <v>44</v>
      </c>
      <c r="U543" s="1" t="s">
        <v>44</v>
      </c>
      <c r="V543" s="1" t="s">
        <v>45</v>
      </c>
      <c r="W543" s="1" t="s">
        <v>230</v>
      </c>
      <c r="X543" s="1" t="s">
        <v>396</v>
      </c>
      <c r="Z543" s="1">
        <v>27</v>
      </c>
      <c r="AA543" s="1" t="s">
        <v>44</v>
      </c>
      <c r="AB543" s="3">
        <v>18319</v>
      </c>
      <c r="AD543" s="1">
        <v>2</v>
      </c>
      <c r="AE543" s="1">
        <v>38.6</v>
      </c>
      <c r="AF543" s="1">
        <v>25.6</v>
      </c>
      <c r="AG543" s="1">
        <v>17.8</v>
      </c>
      <c r="AH543" s="1">
        <v>0.02</v>
      </c>
      <c r="AI543" s="1">
        <v>5.51</v>
      </c>
    </row>
    <row r="544" spans="1:35">
      <c r="A544" s="1" t="s">
        <v>1159</v>
      </c>
      <c r="B544" s="1" t="s">
        <v>1160</v>
      </c>
      <c r="D544" s="1" t="s">
        <v>37</v>
      </c>
      <c r="F544" s="1">
        <v>1</v>
      </c>
      <c r="G544" s="1">
        <v>1</v>
      </c>
      <c r="H544" s="1" t="s">
        <v>38</v>
      </c>
      <c r="I544" s="1">
        <f t="shared" si="7"/>
        <v>12</v>
      </c>
      <c r="J544" s="1" t="str">
        <f>IF(OR(ISNUMBER(SEARCH("2Bks",B544)),ISNUMBER(SEARCH("5Bks",B544))),"RencengBNS",IF(ISNUMBER(SEARCH("1Box",B544)),"BoxBNS"," "))</f>
        <v>RencengBNS</v>
      </c>
      <c r="K544" s="1">
        <f t="shared" si="8"/>
        <v>15</v>
      </c>
      <c r="L544" s="1" t="s">
        <v>120</v>
      </c>
      <c r="M544" s="1">
        <v>180</v>
      </c>
      <c r="N544" s="1" t="s">
        <v>464</v>
      </c>
      <c r="O544" s="3">
        <v>18000</v>
      </c>
      <c r="P544" s="1" t="s">
        <v>41</v>
      </c>
      <c r="Q544" s="1" t="s">
        <v>42</v>
      </c>
      <c r="R544" s="1" t="s">
        <v>43</v>
      </c>
      <c r="S544" s="1" t="s">
        <v>44</v>
      </c>
      <c r="T544" s="1" t="s">
        <v>44</v>
      </c>
      <c r="U544" s="1" t="s">
        <v>44</v>
      </c>
      <c r="V544" s="1" t="s">
        <v>45</v>
      </c>
      <c r="W544" s="1" t="s">
        <v>230</v>
      </c>
      <c r="X544" s="1" t="s">
        <v>396</v>
      </c>
      <c r="Z544" s="1">
        <v>25</v>
      </c>
      <c r="AA544" s="1" t="s">
        <v>44</v>
      </c>
      <c r="AB544" s="3">
        <v>3840</v>
      </c>
      <c r="AD544" s="1">
        <v>2</v>
      </c>
      <c r="AE544" s="1">
        <v>31.8</v>
      </c>
      <c r="AF544" s="1">
        <v>21.7</v>
      </c>
      <c r="AG544" s="1">
        <v>23.5</v>
      </c>
      <c r="AH544" s="1">
        <v>0.02</v>
      </c>
      <c r="AI544" s="1">
        <v>3.4</v>
      </c>
    </row>
    <row r="545" spans="1:35">
      <c r="A545" s="1" t="s">
        <v>1161</v>
      </c>
      <c r="B545" s="1" t="s">
        <v>1162</v>
      </c>
      <c r="D545" s="1" t="s">
        <v>37</v>
      </c>
      <c r="E545" s="1"/>
      <c r="F545" s="1">
        <v>1</v>
      </c>
      <c r="G545" s="1">
        <v>1</v>
      </c>
      <c r="H545" s="1" t="s">
        <v>38</v>
      </c>
      <c r="I545" s="1">
        <f t="shared" si="7"/>
        <v>12</v>
      </c>
      <c r="J545" s="1" t="str">
        <f>IF(ISNUMBER(SEARCH("1Rtg",B545)),"RencengBNS","Renceng")</f>
        <v>RencengBNS</v>
      </c>
      <c r="K545" s="1">
        <f t="shared" si="8"/>
        <v>15</v>
      </c>
      <c r="L545" s="1" t="s">
        <v>120</v>
      </c>
      <c r="M545" s="1">
        <v>180</v>
      </c>
      <c r="N545" s="1" t="s">
        <v>464</v>
      </c>
      <c r="O545" s="1">
        <v>1</v>
      </c>
      <c r="P545" s="1" t="s">
        <v>41</v>
      </c>
      <c r="Q545" s="1" t="s">
        <v>42</v>
      </c>
      <c r="R545" s="1" t="s">
        <v>43</v>
      </c>
      <c r="S545" s="1" t="s">
        <v>44</v>
      </c>
      <c r="T545" s="1" t="s">
        <v>44</v>
      </c>
      <c r="U545" s="1" t="s">
        <v>44</v>
      </c>
      <c r="V545" s="1" t="s">
        <v>45</v>
      </c>
      <c r="W545" s="1" t="s">
        <v>230</v>
      </c>
      <c r="X545" s="1" t="s">
        <v>396</v>
      </c>
      <c r="Z545" s="1">
        <v>23</v>
      </c>
      <c r="AA545" s="1" t="s">
        <v>44</v>
      </c>
      <c r="AB545" s="1">
        <v>0</v>
      </c>
      <c r="AD545" s="1">
        <v>2</v>
      </c>
      <c r="AE545" s="1">
        <v>32.9</v>
      </c>
      <c r="AF545" s="1">
        <v>25</v>
      </c>
      <c r="AG545" s="1">
        <v>22.2</v>
      </c>
      <c r="AH545" s="1">
        <v>1.83</v>
      </c>
      <c r="AI545" s="1">
        <v>3.4</v>
      </c>
    </row>
    <row r="546" spans="1:35">
      <c r="A546" s="1" t="s">
        <v>1163</v>
      </c>
      <c r="B546" s="1" t="s">
        <v>1164</v>
      </c>
      <c r="D546" s="1" t="s">
        <v>37</v>
      </c>
      <c r="F546" s="1">
        <v>1</v>
      </c>
      <c r="G546" s="1">
        <v>1</v>
      </c>
      <c r="H546" t="s">
        <v>38</v>
      </c>
      <c r="I546">
        <f t="shared" si="7"/>
        <v>12</v>
      </c>
      <c r="J546" t="str">
        <f>IF(ISNUMBER(SEARCH("1Rtg",B546)),"RencengBNS","Renceng")</f>
        <v>RencengBNS</v>
      </c>
      <c r="K546" s="1">
        <f t="shared" si="8"/>
        <v>15</v>
      </c>
      <c r="L546" s="1" t="s">
        <v>120</v>
      </c>
      <c r="M546" s="1">
        <v>180</v>
      </c>
      <c r="N546" s="1" t="s">
        <v>464</v>
      </c>
      <c r="O546" s="1">
        <v>1</v>
      </c>
      <c r="P546" s="1" t="s">
        <v>41</v>
      </c>
      <c r="Q546" s="1" t="s">
        <v>42</v>
      </c>
      <c r="R546" s="1" t="s">
        <v>43</v>
      </c>
      <c r="S546" s="1" t="s">
        <v>44</v>
      </c>
      <c r="T546" s="1" t="s">
        <v>44</v>
      </c>
      <c r="U546" s="1" t="s">
        <v>44</v>
      </c>
      <c r="V546" s="1" t="s">
        <v>45</v>
      </c>
      <c r="W546" s="1" t="s">
        <v>230</v>
      </c>
      <c r="X546" s="1" t="s">
        <v>396</v>
      </c>
      <c r="Z546" s="1">
        <v>25</v>
      </c>
      <c r="AA546" s="1" t="s">
        <v>44</v>
      </c>
      <c r="AB546" s="1">
        <v>0</v>
      </c>
      <c r="AD546" s="1">
        <v>2</v>
      </c>
      <c r="AE546" s="1">
        <v>32</v>
      </c>
      <c r="AF546" s="1">
        <v>21.7</v>
      </c>
      <c r="AG546" s="1">
        <v>23.8</v>
      </c>
      <c r="AH546" s="1">
        <v>0.02</v>
      </c>
      <c r="AI546" s="1">
        <v>3.27</v>
      </c>
    </row>
    <row r="547" spans="1:35">
      <c r="A547" s="1" t="s">
        <v>1165</v>
      </c>
      <c r="B547" s="1" t="s">
        <v>1166</v>
      </c>
      <c r="D547" s="1" t="s">
        <v>37</v>
      </c>
      <c r="F547" s="1">
        <v>1</v>
      </c>
      <c r="G547" s="1">
        <v>1</v>
      </c>
      <c r="H547" s="1" t="s">
        <v>38</v>
      </c>
      <c r="I547" s="1">
        <f t="shared" si="7"/>
        <v>12</v>
      </c>
      <c r="J547" s="1" t="str">
        <f>IF(ISNUMBER(SEARCH("1Rtg",B547)),"RencengBNS","Renceng")</f>
        <v>RencengBNS</v>
      </c>
      <c r="K547" s="1">
        <f t="shared" si="8"/>
        <v>15</v>
      </c>
      <c r="L547" s="1" t="s">
        <v>120</v>
      </c>
      <c r="M547" s="1">
        <v>180</v>
      </c>
      <c r="N547" s="1" t="s">
        <v>464</v>
      </c>
      <c r="O547" s="1">
        <v>1</v>
      </c>
      <c r="P547" s="1" t="s">
        <v>41</v>
      </c>
      <c r="Q547" s="1" t="s">
        <v>42</v>
      </c>
      <c r="R547" s="1" t="s">
        <v>43</v>
      </c>
      <c r="S547" s="1" t="s">
        <v>44</v>
      </c>
      <c r="T547" s="1" t="s">
        <v>44</v>
      </c>
      <c r="U547" s="1" t="s">
        <v>44</v>
      </c>
      <c r="V547" s="1" t="s">
        <v>45</v>
      </c>
      <c r="W547" s="1" t="s">
        <v>230</v>
      </c>
      <c r="X547" s="1" t="s">
        <v>396</v>
      </c>
      <c r="Z547" s="1">
        <v>27</v>
      </c>
      <c r="AA547" s="1" t="s">
        <v>44</v>
      </c>
      <c r="AB547" s="1">
        <v>0</v>
      </c>
      <c r="AD547" s="1">
        <v>2</v>
      </c>
      <c r="AE547" s="1">
        <v>32</v>
      </c>
      <c r="AF547" s="1">
        <v>21.7</v>
      </c>
      <c r="AG547" s="1">
        <v>23.8</v>
      </c>
      <c r="AH547" s="1">
        <v>0.02</v>
      </c>
      <c r="AI547" s="1">
        <v>3.27</v>
      </c>
    </row>
    <row r="548" spans="1:35">
      <c r="A548" s="1" t="s">
        <v>1167</v>
      </c>
      <c r="B548" s="1" t="s">
        <v>1168</v>
      </c>
      <c r="D548" s="1" t="s">
        <v>37</v>
      </c>
      <c r="F548" s="1">
        <v>1</v>
      </c>
      <c r="G548" s="1">
        <v>1</v>
      </c>
      <c r="H548" t="s">
        <v>38</v>
      </c>
      <c r="I548">
        <f t="shared" si="7"/>
        <v>12</v>
      </c>
      <c r="J548" t="str">
        <f>IF(ISNUMBER(SEARCH("1Rtg",B548)),"RencengBNS","Renceng")</f>
        <v>RencengBNS</v>
      </c>
      <c r="K548" s="1">
        <f t="shared" si="8"/>
        <v>15</v>
      </c>
      <c r="L548" s="1" t="s">
        <v>120</v>
      </c>
      <c r="M548" s="1">
        <v>180</v>
      </c>
      <c r="N548" s="1" t="s">
        <v>464</v>
      </c>
      <c r="O548" s="1">
        <v>1</v>
      </c>
      <c r="P548" s="1" t="s">
        <v>41</v>
      </c>
      <c r="Q548" s="1" t="s">
        <v>42</v>
      </c>
      <c r="R548" s="1" t="s">
        <v>43</v>
      </c>
      <c r="S548" s="1" t="s">
        <v>44</v>
      </c>
      <c r="T548" s="1" t="s">
        <v>44</v>
      </c>
      <c r="U548" s="1" t="s">
        <v>44</v>
      </c>
      <c r="V548" s="1" t="s">
        <v>45</v>
      </c>
      <c r="W548" s="1" t="s">
        <v>230</v>
      </c>
      <c r="X548" s="1" t="s">
        <v>396</v>
      </c>
      <c r="Z548" s="1">
        <v>27</v>
      </c>
      <c r="AA548" s="1" t="s">
        <v>44</v>
      </c>
      <c r="AB548" s="1">
        <v>0</v>
      </c>
      <c r="AD548" s="1">
        <v>2</v>
      </c>
      <c r="AE548" s="1">
        <v>38.6</v>
      </c>
      <c r="AF548" s="1">
        <v>25.6</v>
      </c>
      <c r="AG548" s="1">
        <v>17.8</v>
      </c>
      <c r="AH548" s="1">
        <v>0.02</v>
      </c>
      <c r="AI548" s="1">
        <v>5.55</v>
      </c>
    </row>
    <row r="549" spans="1:35">
      <c r="A549" t="s">
        <v>1169</v>
      </c>
      <c r="B549" t="s">
        <v>1170</v>
      </c>
      <c r="D549" t="s">
        <v>37</v>
      </c>
      <c r="F549">
        <v>1</v>
      </c>
      <c r="G549">
        <v>1</v>
      </c>
      <c r="H549" t="s">
        <v>38</v>
      </c>
      <c r="K549">
        <v>5</v>
      </c>
      <c r="L549" t="s">
        <v>53</v>
      </c>
      <c r="M549">
        <v>5</v>
      </c>
      <c r="N549" t="s">
        <v>113</v>
      </c>
      <c r="O549">
        <v>500</v>
      </c>
      <c r="P549" t="s">
        <v>41</v>
      </c>
      <c r="Q549" t="s">
        <v>42</v>
      </c>
      <c r="R549" t="s">
        <v>43</v>
      </c>
      <c r="S549" t="s">
        <v>44</v>
      </c>
      <c r="T549" t="s">
        <v>44</v>
      </c>
      <c r="U549" t="s">
        <v>44</v>
      </c>
      <c r="V549" t="s">
        <v>45</v>
      </c>
      <c r="W549" t="s">
        <v>46</v>
      </c>
      <c r="X549" t="s">
        <v>430</v>
      </c>
      <c r="Z549" s="2">
        <v>1000</v>
      </c>
      <c r="AA549" t="s">
        <v>44</v>
      </c>
      <c r="AB549" s="2">
        <v>101140</v>
      </c>
      <c r="AD549">
        <v>2</v>
      </c>
      <c r="AE549">
        <v>35</v>
      </c>
      <c r="AF549">
        <v>16.8</v>
      </c>
      <c r="AG549">
        <v>21.4</v>
      </c>
      <c r="AH549">
        <v>0.01</v>
      </c>
      <c r="AI549">
        <v>5.29</v>
      </c>
    </row>
    <row r="550" spans="1:35">
      <c r="A550" t="s">
        <v>1171</v>
      </c>
      <c r="B550" t="s">
        <v>1172</v>
      </c>
      <c r="D550" t="s">
        <v>37</v>
      </c>
      <c r="F550">
        <v>1</v>
      </c>
      <c r="G550">
        <v>1</v>
      </c>
      <c r="H550" t="s">
        <v>38</v>
      </c>
      <c r="I550" t="str">
        <f>IF(ISNUMBER(SEARCH("Renceng",J550)),(K550/10)," ")</f>
        <v> </v>
      </c>
      <c r="J550" t="str">
        <f>IF(ISNUMBER(SEARCH("Rtg",B550)),"Renceng"," ")</f>
        <v> </v>
      </c>
      <c r="K550">
        <v>5</v>
      </c>
      <c r="L550" t="s">
        <v>53</v>
      </c>
      <c r="M550">
        <v>5</v>
      </c>
      <c r="N550" t="s">
        <v>113</v>
      </c>
      <c r="O550">
        <v>500</v>
      </c>
      <c r="P550" t="s">
        <v>41</v>
      </c>
      <c r="Q550" t="s">
        <v>42</v>
      </c>
      <c r="R550" t="s">
        <v>43</v>
      </c>
      <c r="S550" t="s">
        <v>44</v>
      </c>
      <c r="T550" t="s">
        <v>44</v>
      </c>
      <c r="U550" t="s">
        <v>44</v>
      </c>
      <c r="V550" t="s">
        <v>45</v>
      </c>
      <c r="W550" t="s">
        <v>46</v>
      </c>
      <c r="X550" t="s">
        <v>430</v>
      </c>
      <c r="Z550" s="2">
        <v>1000</v>
      </c>
      <c r="AA550" t="s">
        <v>44</v>
      </c>
      <c r="AB550">
        <v>0</v>
      </c>
      <c r="AD550">
        <v>2</v>
      </c>
      <c r="AE550">
        <v>35</v>
      </c>
      <c r="AF550">
        <v>16.8</v>
      </c>
      <c r="AG550">
        <v>21.4</v>
      </c>
      <c r="AH550">
        <v>0.01</v>
      </c>
      <c r="AI550">
        <v>5.29</v>
      </c>
    </row>
    <row r="551" spans="1:35">
      <c r="A551" s="1" t="s">
        <v>1173</v>
      </c>
      <c r="B551" s="1" t="s">
        <v>1174</v>
      </c>
      <c r="D551" s="1" t="s">
        <v>37</v>
      </c>
      <c r="E551" s="1"/>
      <c r="F551" s="1">
        <v>1</v>
      </c>
      <c r="G551" s="1">
        <v>1</v>
      </c>
      <c r="H551" s="1" t="s">
        <v>38</v>
      </c>
      <c r="I551" s="1">
        <f>IF(J551="Renceng",(M551/10),(M551/15))</f>
        <v>8</v>
      </c>
      <c r="J551" s="1" t="str">
        <f>IF(N551="SACHET80","Renceng",IF(N551="SACHET120","RencengBNS"," "))</f>
        <v>RencengBNS</v>
      </c>
      <c r="K551" s="1">
        <f>M551/I551</f>
        <v>15</v>
      </c>
      <c r="L551" s="1" t="s">
        <v>120</v>
      </c>
      <c r="M551" s="1">
        <v>120</v>
      </c>
      <c r="N551" s="1" t="s">
        <v>229</v>
      </c>
      <c r="O551" s="1">
        <v>1</v>
      </c>
      <c r="P551" s="1" t="s">
        <v>41</v>
      </c>
      <c r="Q551" s="1" t="s">
        <v>42</v>
      </c>
      <c r="R551" s="1" t="s">
        <v>43</v>
      </c>
      <c r="S551" s="1" t="s">
        <v>44</v>
      </c>
      <c r="T551" s="1" t="s">
        <v>44</v>
      </c>
      <c r="U551" s="1" t="s">
        <v>44</v>
      </c>
      <c r="V551" s="1" t="s">
        <v>106</v>
      </c>
      <c r="W551" s="1" t="s">
        <v>107</v>
      </c>
      <c r="X551" s="1" t="s">
        <v>108</v>
      </c>
      <c r="Z551" s="1">
        <v>25</v>
      </c>
      <c r="AA551" s="1" t="s">
        <v>44</v>
      </c>
      <c r="AB551" s="1">
        <v>0</v>
      </c>
      <c r="AD551" s="1">
        <v>2</v>
      </c>
      <c r="AE551" s="1">
        <v>42.5</v>
      </c>
      <c r="AF551" s="1">
        <v>23</v>
      </c>
      <c r="AG551" s="1">
        <v>21.6</v>
      </c>
      <c r="AH551" s="1">
        <v>0.02</v>
      </c>
      <c r="AI551" s="1">
        <v>5.59</v>
      </c>
    </row>
    <row r="552" spans="1:35">
      <c r="A552" s="1" t="s">
        <v>1175</v>
      </c>
      <c r="B552" s="1" t="s">
        <v>1176</v>
      </c>
      <c r="D552" s="1" t="s">
        <v>37</v>
      </c>
      <c r="F552" s="1">
        <v>1</v>
      </c>
      <c r="G552" s="1">
        <v>1</v>
      </c>
      <c r="H552" s="1" t="s">
        <v>38</v>
      </c>
      <c r="I552" s="1">
        <f>IF(J552="Renceng",(M552/10),(M552/15))</f>
        <v>8</v>
      </c>
      <c r="J552" s="1" t="str">
        <f>IF(N552="SACHET80","Renceng",IF(N552="SACHET120","RencengBNS"," "))</f>
        <v>RencengBNS</v>
      </c>
      <c r="K552" s="1">
        <f>M552/I552</f>
        <v>15</v>
      </c>
      <c r="L552" s="1" t="s">
        <v>120</v>
      </c>
      <c r="M552" s="1">
        <v>120</v>
      </c>
      <c r="N552" s="1" t="s">
        <v>229</v>
      </c>
      <c r="O552" s="1">
        <v>1</v>
      </c>
      <c r="P552" s="1" t="s">
        <v>41</v>
      </c>
      <c r="Q552" s="1" t="s">
        <v>42</v>
      </c>
      <c r="R552" s="1" t="s">
        <v>43</v>
      </c>
      <c r="S552" s="1" t="s">
        <v>44</v>
      </c>
      <c r="T552" s="1" t="s">
        <v>44</v>
      </c>
      <c r="U552" s="1" t="s">
        <v>44</v>
      </c>
      <c r="V552" s="1" t="s">
        <v>106</v>
      </c>
      <c r="W552" s="1" t="s">
        <v>107</v>
      </c>
      <c r="X552" s="1" t="s">
        <v>108</v>
      </c>
      <c r="Z552" s="1">
        <v>25</v>
      </c>
      <c r="AA552" s="1" t="s">
        <v>44</v>
      </c>
      <c r="AB552" s="1">
        <v>0</v>
      </c>
      <c r="AD552" s="1">
        <v>2</v>
      </c>
      <c r="AE552" s="1">
        <v>42.5</v>
      </c>
      <c r="AF552" s="1">
        <v>23</v>
      </c>
      <c r="AG552" s="1">
        <v>21.6</v>
      </c>
      <c r="AH552" s="1">
        <v>0.02</v>
      </c>
      <c r="AI552" s="1">
        <v>5.58</v>
      </c>
    </row>
    <row r="553" spans="1:35">
      <c r="A553" s="1" t="s">
        <v>1177</v>
      </c>
      <c r="B553" s="1" t="s">
        <v>1178</v>
      </c>
      <c r="D553" s="1" t="s">
        <v>37</v>
      </c>
      <c r="E553" s="1"/>
      <c r="F553" s="1">
        <v>1</v>
      </c>
      <c r="G553" s="1">
        <v>1</v>
      </c>
      <c r="H553" s="1" t="s">
        <v>38</v>
      </c>
      <c r="I553" s="1">
        <f>IF(J553="Renceng",(M553/10),(M553/15))</f>
        <v>25</v>
      </c>
      <c r="J553" s="1" t="str">
        <f>IF(ISNUMBER(SEARCH("1Rtg",B553)),"RencengBNS","Renceng")</f>
        <v>RencengBNS</v>
      </c>
      <c r="K553" s="1">
        <f>M553/I553</f>
        <v>15</v>
      </c>
      <c r="L553" s="1" t="s">
        <v>120</v>
      </c>
      <c r="M553" s="1">
        <v>375</v>
      </c>
      <c r="N553" s="1" t="s">
        <v>469</v>
      </c>
      <c r="O553" s="1">
        <v>1</v>
      </c>
      <c r="P553" s="1" t="s">
        <v>41</v>
      </c>
      <c r="Q553" s="1" t="s">
        <v>42</v>
      </c>
      <c r="R553" s="1" t="s">
        <v>43</v>
      </c>
      <c r="S553" s="1" t="s">
        <v>44</v>
      </c>
      <c r="T553" s="1" t="s">
        <v>44</v>
      </c>
      <c r="U553" s="1" t="s">
        <v>44</v>
      </c>
      <c r="V553" s="1" t="s">
        <v>161</v>
      </c>
      <c r="W553" s="1" t="s">
        <v>162</v>
      </c>
      <c r="X553" s="1" t="s">
        <v>163</v>
      </c>
      <c r="Z553" s="1">
        <v>20</v>
      </c>
      <c r="AA553" s="1" t="s">
        <v>44</v>
      </c>
      <c r="AB553" s="1">
        <v>0</v>
      </c>
      <c r="AD553" s="1">
        <v>2</v>
      </c>
      <c r="AE553" s="1">
        <v>42.5</v>
      </c>
      <c r="AF553" s="1">
        <v>23</v>
      </c>
      <c r="AG553" s="1">
        <v>21.6</v>
      </c>
      <c r="AH553" s="1">
        <v>0.02</v>
      </c>
      <c r="AI553" s="1">
        <v>5.57</v>
      </c>
    </row>
    <row r="554" spans="1:35">
      <c r="A554" s="1" t="s">
        <v>1179</v>
      </c>
      <c r="B554" s="1" t="s">
        <v>1180</v>
      </c>
      <c r="D554" s="1" t="s">
        <v>37</v>
      </c>
      <c r="F554" s="1">
        <v>1</v>
      </c>
      <c r="G554" s="1">
        <v>1</v>
      </c>
      <c r="H554" t="s">
        <v>38</v>
      </c>
      <c r="I554">
        <f>IF(J554="Renceng",(M554/10),(M554/15))</f>
        <v>25</v>
      </c>
      <c r="J554" t="str">
        <f>IF(ISNUMBER(SEARCH("1Rtg",B554)),"RencengBNS","Renceng")</f>
        <v>RencengBNS</v>
      </c>
      <c r="K554" s="1">
        <f>M554/I554</f>
        <v>15</v>
      </c>
      <c r="L554" s="1" t="s">
        <v>120</v>
      </c>
      <c r="M554" s="1">
        <v>375</v>
      </c>
      <c r="N554" s="1" t="s">
        <v>469</v>
      </c>
      <c r="O554" s="1">
        <v>1</v>
      </c>
      <c r="P554" s="1" t="s">
        <v>41</v>
      </c>
      <c r="Q554" s="1" t="s">
        <v>42</v>
      </c>
      <c r="R554" s="1" t="s">
        <v>43</v>
      </c>
      <c r="S554" s="1" t="s">
        <v>44</v>
      </c>
      <c r="T554" s="1" t="s">
        <v>44</v>
      </c>
      <c r="U554" s="1" t="s">
        <v>44</v>
      </c>
      <c r="V554" s="1" t="s">
        <v>161</v>
      </c>
      <c r="W554" s="1" t="s">
        <v>162</v>
      </c>
      <c r="X554" s="1" t="s">
        <v>163</v>
      </c>
      <c r="Z554" s="1">
        <v>20</v>
      </c>
      <c r="AA554" s="1" t="s">
        <v>44</v>
      </c>
      <c r="AB554" s="1">
        <v>0</v>
      </c>
      <c r="AD554" s="1">
        <v>2</v>
      </c>
      <c r="AE554" s="1">
        <v>42.5</v>
      </c>
      <c r="AF554" s="1">
        <v>23</v>
      </c>
      <c r="AG554" s="1">
        <v>21.6</v>
      </c>
      <c r="AH554" s="1">
        <v>0.02</v>
      </c>
      <c r="AI554" s="1">
        <v>5.59</v>
      </c>
    </row>
    <row r="555" spans="1:35">
      <c r="A555" t="s">
        <v>1181</v>
      </c>
      <c r="B555" t="s">
        <v>1182</v>
      </c>
      <c r="D555" t="s">
        <v>37</v>
      </c>
      <c r="F555">
        <v>1</v>
      </c>
      <c r="G555">
        <v>1</v>
      </c>
      <c r="H555" t="s">
        <v>38</v>
      </c>
      <c r="K555">
        <v>9</v>
      </c>
      <c r="L555" t="s">
        <v>53</v>
      </c>
      <c r="M555">
        <v>9</v>
      </c>
      <c r="N555" t="s">
        <v>177</v>
      </c>
      <c r="O555">
        <v>900</v>
      </c>
      <c r="P555" t="s">
        <v>41</v>
      </c>
      <c r="Q555" t="s">
        <v>42</v>
      </c>
      <c r="R555" t="s">
        <v>43</v>
      </c>
      <c r="S555" t="s">
        <v>44</v>
      </c>
      <c r="T555" t="s">
        <v>44</v>
      </c>
      <c r="U555" t="s">
        <v>44</v>
      </c>
      <c r="V555" t="s">
        <v>45</v>
      </c>
      <c r="W555" t="s">
        <v>46</v>
      </c>
      <c r="X555" t="s">
        <v>430</v>
      </c>
      <c r="Z555">
        <v>350</v>
      </c>
      <c r="AA555" t="s">
        <v>44</v>
      </c>
      <c r="AB555" s="2">
        <v>633779</v>
      </c>
      <c r="AD555">
        <v>2</v>
      </c>
      <c r="AE555">
        <v>32.6</v>
      </c>
      <c r="AF555">
        <v>16</v>
      </c>
      <c r="AG555">
        <v>25.2</v>
      </c>
      <c r="AH555">
        <v>0.01</v>
      </c>
      <c r="AI555">
        <v>3.4</v>
      </c>
    </row>
    <row r="556" spans="1:35">
      <c r="A556" t="s">
        <v>1183</v>
      </c>
      <c r="B556" t="s">
        <v>1184</v>
      </c>
      <c r="D556" t="s">
        <v>37</v>
      </c>
      <c r="F556">
        <v>1</v>
      </c>
      <c r="G556">
        <v>1</v>
      </c>
      <c r="H556" t="s">
        <v>38</v>
      </c>
      <c r="I556" t="str">
        <f t="shared" ref="I556:I560" si="9">IF(ISNUMBER(SEARCH("Renceng",J556)),(K556/10)," ")</f>
        <v> </v>
      </c>
      <c r="J556" t="str">
        <f t="shared" ref="J556:J560" si="10">IF(ISNUMBER(SEARCH("Rtg",B556)),"Renceng"," ")</f>
        <v> </v>
      </c>
      <c r="K556">
        <v>9</v>
      </c>
      <c r="L556" t="s">
        <v>53</v>
      </c>
      <c r="M556">
        <v>9</v>
      </c>
      <c r="N556" t="s">
        <v>177</v>
      </c>
      <c r="O556">
        <v>900</v>
      </c>
      <c r="P556" t="s">
        <v>41</v>
      </c>
      <c r="Q556" t="s">
        <v>42</v>
      </c>
      <c r="R556" t="s">
        <v>43</v>
      </c>
      <c r="S556" t="s">
        <v>44</v>
      </c>
      <c r="T556" t="s">
        <v>44</v>
      </c>
      <c r="U556" t="s">
        <v>44</v>
      </c>
      <c r="V556" t="s">
        <v>45</v>
      </c>
      <c r="W556" t="s">
        <v>46</v>
      </c>
      <c r="X556" t="s">
        <v>430</v>
      </c>
      <c r="Z556">
        <v>350</v>
      </c>
      <c r="AA556" t="s">
        <v>44</v>
      </c>
      <c r="AB556" s="2">
        <v>14476</v>
      </c>
      <c r="AD556">
        <v>2</v>
      </c>
      <c r="AE556">
        <v>32.6</v>
      </c>
      <c r="AF556">
        <v>16</v>
      </c>
      <c r="AG556">
        <v>25.2</v>
      </c>
      <c r="AH556">
        <v>0.01</v>
      </c>
      <c r="AI556">
        <v>3.4</v>
      </c>
    </row>
    <row r="557" spans="1:35">
      <c r="A557" s="1" t="s">
        <v>1185</v>
      </c>
      <c r="B557" s="1" t="s">
        <v>1186</v>
      </c>
      <c r="D557" s="1" t="s">
        <v>37</v>
      </c>
      <c r="F557" s="1">
        <v>1</v>
      </c>
      <c r="G557" s="1">
        <v>1</v>
      </c>
      <c r="H557" s="1" t="s">
        <v>38</v>
      </c>
      <c r="K557" s="1">
        <v>20</v>
      </c>
      <c r="L557" s="1" t="s">
        <v>120</v>
      </c>
      <c r="M557" s="1">
        <v>20</v>
      </c>
      <c r="N557" s="1" t="s">
        <v>223</v>
      </c>
      <c r="O557" s="3">
        <v>2000</v>
      </c>
      <c r="P557" s="1" t="s">
        <v>41</v>
      </c>
      <c r="Q557" s="1" t="s">
        <v>42</v>
      </c>
      <c r="R557" s="1" t="s">
        <v>43</v>
      </c>
      <c r="S557" s="1" t="s">
        <v>44</v>
      </c>
      <c r="T557" s="1" t="s">
        <v>44</v>
      </c>
      <c r="U557" s="1" t="s">
        <v>44</v>
      </c>
      <c r="V557" s="1" t="s">
        <v>45</v>
      </c>
      <c r="W557" s="1" t="s">
        <v>46</v>
      </c>
      <c r="X557" s="1" t="s">
        <v>396</v>
      </c>
      <c r="Z557" s="1">
        <v>160</v>
      </c>
      <c r="AA557" s="1" t="s">
        <v>44</v>
      </c>
      <c r="AB557" s="1">
        <v>0</v>
      </c>
      <c r="AD557" s="1">
        <v>2</v>
      </c>
      <c r="AE557" s="1">
        <v>40.5</v>
      </c>
      <c r="AF557" s="1">
        <v>23.7</v>
      </c>
      <c r="AG557" s="1">
        <v>18.9</v>
      </c>
      <c r="AH557" s="1">
        <v>0.02</v>
      </c>
      <c r="AI557" s="1">
        <v>3.56</v>
      </c>
    </row>
    <row r="558" spans="1:35">
      <c r="A558" t="s">
        <v>1187</v>
      </c>
      <c r="B558" t="s">
        <v>454</v>
      </c>
      <c r="D558" t="s">
        <v>37</v>
      </c>
      <c r="F558">
        <v>1</v>
      </c>
      <c r="G558">
        <v>1</v>
      </c>
      <c r="H558" t="s">
        <v>38</v>
      </c>
      <c r="K558">
        <v>9</v>
      </c>
      <c r="L558" t="s">
        <v>53</v>
      </c>
      <c r="M558">
        <v>9</v>
      </c>
      <c r="N558" t="s">
        <v>177</v>
      </c>
      <c r="O558">
        <v>900</v>
      </c>
      <c r="P558" t="s">
        <v>41</v>
      </c>
      <c r="Q558" t="s">
        <v>42</v>
      </c>
      <c r="R558" t="s">
        <v>43</v>
      </c>
      <c r="S558" t="s">
        <v>44</v>
      </c>
      <c r="T558" t="s">
        <v>44</v>
      </c>
      <c r="U558" t="s">
        <v>44</v>
      </c>
      <c r="V558" t="s">
        <v>45</v>
      </c>
      <c r="W558" t="s">
        <v>46</v>
      </c>
      <c r="X558" t="s">
        <v>430</v>
      </c>
      <c r="Z558">
        <v>380</v>
      </c>
      <c r="AA558" t="s">
        <v>44</v>
      </c>
      <c r="AB558">
        <v>0</v>
      </c>
      <c r="AD558">
        <v>2</v>
      </c>
      <c r="AE558">
        <v>32.6</v>
      </c>
      <c r="AF558">
        <v>16.5</v>
      </c>
      <c r="AG558">
        <v>26.5</v>
      </c>
      <c r="AH558">
        <v>0.01</v>
      </c>
      <c r="AI558">
        <v>3.71</v>
      </c>
    </row>
    <row r="559" hidden="1" spans="1:35">
      <c r="A559" s="1" t="s">
        <v>1188</v>
      </c>
      <c r="B559" s="1" t="s">
        <v>1189</v>
      </c>
      <c r="C559" t="s">
        <v>1190</v>
      </c>
      <c r="D559" s="1" t="s">
        <v>37</v>
      </c>
      <c r="F559" s="1">
        <v>1</v>
      </c>
      <c r="G559" s="1">
        <v>1</v>
      </c>
      <c r="H559" s="1"/>
      <c r="I559" s="1"/>
      <c r="J559" s="1"/>
      <c r="K559" s="1">
        <v>1</v>
      </c>
      <c r="L559" s="1" t="s">
        <v>120</v>
      </c>
      <c r="M559" s="1">
        <v>50</v>
      </c>
      <c r="N559" s="1" t="s">
        <v>205</v>
      </c>
      <c r="O559" s="3">
        <v>5000</v>
      </c>
      <c r="P559" s="1" t="s">
        <v>41</v>
      </c>
      <c r="Q559" s="1" t="s">
        <v>42</v>
      </c>
      <c r="R559" s="1" t="s">
        <v>43</v>
      </c>
      <c r="S559" s="1" t="s">
        <v>44</v>
      </c>
      <c r="T559" s="1" t="s">
        <v>44</v>
      </c>
      <c r="U559" s="1" t="s">
        <v>44</v>
      </c>
      <c r="V559" s="1" t="s">
        <v>45</v>
      </c>
      <c r="W559" s="1" t="s">
        <v>46</v>
      </c>
      <c r="X559" s="1" t="s">
        <v>194</v>
      </c>
      <c r="Z559" s="1">
        <v>60</v>
      </c>
      <c r="AA559" s="1" t="s">
        <v>44</v>
      </c>
      <c r="AB559" s="1">
        <v>0</v>
      </c>
      <c r="AD559" s="1">
        <v>2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</row>
    <row r="560" spans="1:35">
      <c r="A560" t="s">
        <v>1191</v>
      </c>
      <c r="B560" t="s">
        <v>1047</v>
      </c>
      <c r="D560" t="s">
        <v>37</v>
      </c>
      <c r="F560">
        <v>1</v>
      </c>
      <c r="G560">
        <v>1</v>
      </c>
      <c r="H560" t="s">
        <v>38</v>
      </c>
      <c r="I560" t="str">
        <f t="shared" si="9"/>
        <v> </v>
      </c>
      <c r="J560" t="str">
        <f t="shared" si="10"/>
        <v> </v>
      </c>
      <c r="K560">
        <v>9</v>
      </c>
      <c r="L560" t="s">
        <v>53</v>
      </c>
      <c r="M560">
        <v>9</v>
      </c>
      <c r="N560" t="s">
        <v>177</v>
      </c>
      <c r="O560">
        <v>900</v>
      </c>
      <c r="P560" t="s">
        <v>41</v>
      </c>
      <c r="Q560" t="s">
        <v>42</v>
      </c>
      <c r="R560" t="s">
        <v>43</v>
      </c>
      <c r="S560" t="s">
        <v>44</v>
      </c>
      <c r="T560" t="s">
        <v>44</v>
      </c>
      <c r="U560" t="s">
        <v>44</v>
      </c>
      <c r="V560" t="s">
        <v>45</v>
      </c>
      <c r="W560" t="s">
        <v>46</v>
      </c>
      <c r="X560" t="s">
        <v>430</v>
      </c>
      <c r="Z560">
        <v>380</v>
      </c>
      <c r="AA560" t="s">
        <v>44</v>
      </c>
      <c r="AB560">
        <v>0</v>
      </c>
      <c r="AD560">
        <v>2</v>
      </c>
      <c r="AE560">
        <v>32.6</v>
      </c>
      <c r="AF560">
        <v>16.5</v>
      </c>
      <c r="AG560">
        <v>26.5</v>
      </c>
      <c r="AH560">
        <v>0.01</v>
      </c>
      <c r="AI560">
        <v>3.65</v>
      </c>
    </row>
    <row r="561" hidden="1" spans="1:35">
      <c r="A561" s="1" t="s">
        <v>1192</v>
      </c>
      <c r="B561" s="1" t="s">
        <v>1193</v>
      </c>
      <c r="C561" t="s">
        <v>1190</v>
      </c>
      <c r="D561" s="1" t="s">
        <v>37</v>
      </c>
      <c r="F561" s="1">
        <v>1</v>
      </c>
      <c r="G561" s="1">
        <v>1</v>
      </c>
      <c r="K561" s="1">
        <v>1</v>
      </c>
      <c r="L561" s="1" t="s">
        <v>120</v>
      </c>
      <c r="M561" s="1">
        <v>20</v>
      </c>
      <c r="N561" s="1" t="s">
        <v>223</v>
      </c>
      <c r="O561" s="3">
        <v>2000</v>
      </c>
      <c r="P561" s="1" t="s">
        <v>41</v>
      </c>
      <c r="Q561" s="1" t="s">
        <v>42</v>
      </c>
      <c r="R561" s="1" t="s">
        <v>43</v>
      </c>
      <c r="S561" s="1" t="s">
        <v>44</v>
      </c>
      <c r="T561" s="1" t="s">
        <v>44</v>
      </c>
      <c r="U561" s="1" t="s">
        <v>44</v>
      </c>
      <c r="V561" s="1" t="s">
        <v>45</v>
      </c>
      <c r="W561" s="1" t="s">
        <v>46</v>
      </c>
      <c r="X561" s="1" t="s">
        <v>194</v>
      </c>
      <c r="Z561" s="1">
        <v>165</v>
      </c>
      <c r="AA561" s="1" t="s">
        <v>44</v>
      </c>
      <c r="AB561" s="1">
        <v>0</v>
      </c>
      <c r="AD561" s="1">
        <v>2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</row>
    <row r="562" spans="1:35">
      <c r="A562" t="s">
        <v>1194</v>
      </c>
      <c r="B562" t="s">
        <v>1195</v>
      </c>
      <c r="D562" t="s">
        <v>37</v>
      </c>
      <c r="F562">
        <v>1</v>
      </c>
      <c r="G562">
        <v>1</v>
      </c>
      <c r="H562" t="s">
        <v>38</v>
      </c>
      <c r="K562">
        <v>5</v>
      </c>
      <c r="L562" t="s">
        <v>315</v>
      </c>
      <c r="M562">
        <v>5</v>
      </c>
      <c r="N562" t="s">
        <v>325</v>
      </c>
      <c r="O562">
        <v>500</v>
      </c>
      <c r="P562" t="s">
        <v>41</v>
      </c>
      <c r="Q562" t="s">
        <v>42</v>
      </c>
      <c r="R562" t="s">
        <v>43</v>
      </c>
      <c r="S562" t="s">
        <v>44</v>
      </c>
      <c r="T562" t="s">
        <v>44</v>
      </c>
      <c r="U562" t="s">
        <v>44</v>
      </c>
      <c r="V562" t="s">
        <v>45</v>
      </c>
      <c r="W562" t="s">
        <v>46</v>
      </c>
      <c r="X562" t="s">
        <v>430</v>
      </c>
      <c r="Z562" s="2">
        <v>1000</v>
      </c>
      <c r="AA562" t="s">
        <v>43</v>
      </c>
      <c r="AB562">
        <v>0</v>
      </c>
      <c r="AD562">
        <v>2</v>
      </c>
      <c r="AE562">
        <v>22.2</v>
      </c>
      <c r="AF562">
        <v>22.2</v>
      </c>
      <c r="AG562">
        <v>22.8</v>
      </c>
      <c r="AH562">
        <v>0.01</v>
      </c>
      <c r="AI562">
        <v>5.31</v>
      </c>
    </row>
    <row r="563" spans="1:35">
      <c r="A563" t="s">
        <v>1196</v>
      </c>
      <c r="B563" t="s">
        <v>1195</v>
      </c>
      <c r="D563" t="s">
        <v>37</v>
      </c>
      <c r="F563">
        <v>1</v>
      </c>
      <c r="G563">
        <v>1</v>
      </c>
      <c r="H563" t="s">
        <v>38</v>
      </c>
      <c r="K563">
        <v>5</v>
      </c>
      <c r="L563" t="s">
        <v>53</v>
      </c>
      <c r="M563">
        <v>5</v>
      </c>
      <c r="N563" t="s">
        <v>113</v>
      </c>
      <c r="O563">
        <v>500</v>
      </c>
      <c r="P563" t="s">
        <v>41</v>
      </c>
      <c r="Q563" t="s">
        <v>42</v>
      </c>
      <c r="R563" t="s">
        <v>43</v>
      </c>
      <c r="S563" t="s">
        <v>44</v>
      </c>
      <c r="T563" t="s">
        <v>44</v>
      </c>
      <c r="U563" t="s">
        <v>44</v>
      </c>
      <c r="V563" t="s">
        <v>45</v>
      </c>
      <c r="W563" t="s">
        <v>46</v>
      </c>
      <c r="X563" t="s">
        <v>430</v>
      </c>
      <c r="Z563" s="2">
        <v>1000</v>
      </c>
      <c r="AA563" t="s">
        <v>44</v>
      </c>
      <c r="AB563">
        <v>0</v>
      </c>
      <c r="AD563">
        <v>2</v>
      </c>
      <c r="AE563">
        <v>35</v>
      </c>
      <c r="AF563">
        <v>16.8</v>
      </c>
      <c r="AG563">
        <v>21.4</v>
      </c>
      <c r="AH563">
        <v>0.01</v>
      </c>
      <c r="AI563">
        <v>5.29</v>
      </c>
    </row>
    <row r="564" spans="1:35">
      <c r="A564" t="s">
        <v>1197</v>
      </c>
      <c r="B564" t="s">
        <v>1198</v>
      </c>
      <c r="D564" t="s">
        <v>37</v>
      </c>
      <c r="F564">
        <v>1</v>
      </c>
      <c r="G564">
        <v>1</v>
      </c>
      <c r="H564" t="s">
        <v>38</v>
      </c>
      <c r="K564">
        <v>12</v>
      </c>
      <c r="L564" t="s">
        <v>315</v>
      </c>
      <c r="M564">
        <v>12</v>
      </c>
      <c r="N564" t="s">
        <v>399</v>
      </c>
      <c r="O564" s="2">
        <v>1200</v>
      </c>
      <c r="P564" t="s">
        <v>41</v>
      </c>
      <c r="Q564" t="s">
        <v>42</v>
      </c>
      <c r="R564" t="s">
        <v>43</v>
      </c>
      <c r="S564" t="s">
        <v>44</v>
      </c>
      <c r="T564" t="s">
        <v>44</v>
      </c>
      <c r="U564" t="s">
        <v>44</v>
      </c>
      <c r="V564" t="s">
        <v>45</v>
      </c>
      <c r="W564" t="s">
        <v>46</v>
      </c>
      <c r="X564" t="s">
        <v>430</v>
      </c>
      <c r="Z564">
        <v>600</v>
      </c>
      <c r="AA564" t="s">
        <v>44</v>
      </c>
      <c r="AB564" s="2">
        <v>222422</v>
      </c>
      <c r="AD564">
        <v>2</v>
      </c>
      <c r="AE564">
        <v>43.5</v>
      </c>
      <c r="AF564">
        <v>29.1</v>
      </c>
      <c r="AG564">
        <v>25.5</v>
      </c>
      <c r="AH564">
        <v>0.03</v>
      </c>
      <c r="AI564">
        <v>8.45</v>
      </c>
    </row>
    <row r="565" spans="1:35">
      <c r="A565" t="s">
        <v>1199</v>
      </c>
      <c r="B565" t="s">
        <v>1200</v>
      </c>
      <c r="D565" t="s">
        <v>37</v>
      </c>
      <c r="F565">
        <v>1</v>
      </c>
      <c r="G565">
        <v>1</v>
      </c>
      <c r="H565" t="s">
        <v>38</v>
      </c>
      <c r="I565" t="str">
        <f>IF(ISNUMBER(SEARCH("Renceng",J565)),(K565/10)," ")</f>
        <v> </v>
      </c>
      <c r="J565" t="str">
        <f>IF(ISNUMBER(SEARCH("Rtg",B565)),"Renceng"," ")</f>
        <v> </v>
      </c>
      <c r="K565">
        <v>12</v>
      </c>
      <c r="L565" t="s">
        <v>315</v>
      </c>
      <c r="M565">
        <v>12</v>
      </c>
      <c r="N565" t="s">
        <v>399</v>
      </c>
      <c r="O565" s="2">
        <v>1200</v>
      </c>
      <c r="P565" t="s">
        <v>41</v>
      </c>
      <c r="Q565" t="s">
        <v>42</v>
      </c>
      <c r="R565" t="s">
        <v>43</v>
      </c>
      <c r="S565" t="s">
        <v>44</v>
      </c>
      <c r="T565" t="s">
        <v>44</v>
      </c>
      <c r="U565" t="s">
        <v>44</v>
      </c>
      <c r="V565" t="s">
        <v>45</v>
      </c>
      <c r="W565" t="s">
        <v>46</v>
      </c>
      <c r="X565" t="s">
        <v>430</v>
      </c>
      <c r="Z565">
        <v>600</v>
      </c>
      <c r="AA565" t="s">
        <v>44</v>
      </c>
      <c r="AB565">
        <v>0</v>
      </c>
      <c r="AD565">
        <v>2</v>
      </c>
      <c r="AE565">
        <v>43.5</v>
      </c>
      <c r="AF565">
        <v>29.1</v>
      </c>
      <c r="AG565">
        <v>25.5</v>
      </c>
      <c r="AH565">
        <v>0.03</v>
      </c>
      <c r="AI565">
        <v>8.73</v>
      </c>
    </row>
    <row r="566" hidden="1" spans="1:35">
      <c r="A566" t="s">
        <v>1201</v>
      </c>
      <c r="B566" t="s">
        <v>1202</v>
      </c>
      <c r="D566" t="s">
        <v>37</v>
      </c>
      <c r="F566">
        <v>1</v>
      </c>
      <c r="G566">
        <v>1</v>
      </c>
      <c r="J566" t="str">
        <f>IF(OR(ISNUMBER(SEARCH("2Bks",B566)),ISNUMBER(SEARCH("5Bks",B566))),"RencengBNS",IF(ISNUMBER(SEARCH("1Box",B566)),"BoxBNS"," "))</f>
        <v> </v>
      </c>
      <c r="K566">
        <v>1</v>
      </c>
      <c r="L566" t="s">
        <v>315</v>
      </c>
      <c r="M566">
        <v>12</v>
      </c>
      <c r="N566" t="s">
        <v>399</v>
      </c>
      <c r="O566">
        <v>1</v>
      </c>
      <c r="P566" t="s">
        <v>41</v>
      </c>
      <c r="Q566" t="s">
        <v>42</v>
      </c>
      <c r="R566" t="s">
        <v>43</v>
      </c>
      <c r="S566" t="s">
        <v>44</v>
      </c>
      <c r="T566" t="s">
        <v>44</v>
      </c>
      <c r="U566" t="s">
        <v>44</v>
      </c>
      <c r="V566" t="s">
        <v>45</v>
      </c>
      <c r="W566" t="s">
        <v>46</v>
      </c>
      <c r="X566" t="s">
        <v>430</v>
      </c>
      <c r="Z566">
        <v>600</v>
      </c>
      <c r="AA566" t="s">
        <v>44</v>
      </c>
      <c r="AB566">
        <v>0</v>
      </c>
      <c r="AD566">
        <v>2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>
      <c r="A567" t="s">
        <v>1203</v>
      </c>
      <c r="B567" t="s">
        <v>1204</v>
      </c>
      <c r="D567" t="s">
        <v>37</v>
      </c>
      <c r="F567">
        <v>1</v>
      </c>
      <c r="G567">
        <v>1</v>
      </c>
      <c r="H567" t="s">
        <v>38</v>
      </c>
      <c r="I567" t="str">
        <f>IF(ISNUMBER(SEARCH("Renceng",J567)),(K567/10)," ")</f>
        <v> </v>
      </c>
      <c r="J567" t="str">
        <f>IF(ISNUMBER(SEARCH("Rtg",B567)),"Renceng"," ")</f>
        <v> </v>
      </c>
      <c r="K567">
        <v>12</v>
      </c>
      <c r="L567" t="s">
        <v>315</v>
      </c>
      <c r="M567">
        <v>12</v>
      </c>
      <c r="N567" t="s">
        <v>399</v>
      </c>
      <c r="O567" s="2">
        <v>1200</v>
      </c>
      <c r="P567" t="s">
        <v>41</v>
      </c>
      <c r="Q567" t="s">
        <v>42</v>
      </c>
      <c r="R567" t="s">
        <v>43</v>
      </c>
      <c r="S567" t="s">
        <v>44</v>
      </c>
      <c r="T567" t="s">
        <v>44</v>
      </c>
      <c r="U567" t="s">
        <v>44</v>
      </c>
      <c r="V567" t="s">
        <v>45</v>
      </c>
      <c r="W567" t="s">
        <v>46</v>
      </c>
      <c r="X567" t="s">
        <v>430</v>
      </c>
      <c r="Z567">
        <v>600</v>
      </c>
      <c r="AA567" t="s">
        <v>44</v>
      </c>
      <c r="AB567">
        <v>0</v>
      </c>
      <c r="AD567">
        <v>2</v>
      </c>
      <c r="AE567">
        <v>43.5</v>
      </c>
      <c r="AF567">
        <v>29.1</v>
      </c>
      <c r="AG567">
        <v>25.5</v>
      </c>
      <c r="AH567">
        <v>0.03</v>
      </c>
      <c r="AI567">
        <v>9.87</v>
      </c>
    </row>
    <row r="568" hidden="1" spans="1:35">
      <c r="A568" t="s">
        <v>1205</v>
      </c>
      <c r="B568" t="s">
        <v>1206</v>
      </c>
      <c r="D568" t="s">
        <v>37</v>
      </c>
      <c r="F568">
        <v>1</v>
      </c>
      <c r="G568">
        <v>1</v>
      </c>
      <c r="K568">
        <v>1</v>
      </c>
      <c r="L568" t="s">
        <v>315</v>
      </c>
      <c r="M568">
        <v>12</v>
      </c>
      <c r="N568" t="s">
        <v>399</v>
      </c>
      <c r="O568">
        <v>1</v>
      </c>
      <c r="P568" t="s">
        <v>41</v>
      </c>
      <c r="Q568" t="s">
        <v>42</v>
      </c>
      <c r="R568" t="s">
        <v>43</v>
      </c>
      <c r="S568" t="s">
        <v>44</v>
      </c>
      <c r="T568" t="s">
        <v>44</v>
      </c>
      <c r="U568" t="s">
        <v>44</v>
      </c>
      <c r="V568" t="s">
        <v>45</v>
      </c>
      <c r="W568" t="s">
        <v>46</v>
      </c>
      <c r="X568" t="s">
        <v>430</v>
      </c>
      <c r="Z568">
        <v>600</v>
      </c>
      <c r="AA568" t="s">
        <v>44</v>
      </c>
      <c r="AB568">
        <v>0</v>
      </c>
      <c r="AD568">
        <v>2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>
      <c r="A569" s="1" t="s">
        <v>1207</v>
      </c>
      <c r="B569" s="1" t="s">
        <v>1208</v>
      </c>
      <c r="D569" s="1" t="s">
        <v>37</v>
      </c>
      <c r="F569" s="1">
        <v>1</v>
      </c>
      <c r="G569" s="1">
        <v>1</v>
      </c>
      <c r="H569" s="1" t="s">
        <v>38</v>
      </c>
      <c r="I569" s="1">
        <f>IF(J569="Renceng",(M569/10),(M569/15))</f>
        <v>12</v>
      </c>
      <c r="J569" s="1" t="str">
        <f>IF(ISNUMBER(SEARCH("Rtg",B569)),"Renceng"," ")</f>
        <v>Renceng</v>
      </c>
      <c r="K569" s="1">
        <f>M569/I569</f>
        <v>10</v>
      </c>
      <c r="L569" s="1" t="s">
        <v>120</v>
      </c>
      <c r="M569" s="1">
        <v>120</v>
      </c>
      <c r="N569" s="1" t="s">
        <v>229</v>
      </c>
      <c r="O569" s="3">
        <v>12000</v>
      </c>
      <c r="P569" s="1" t="s">
        <v>41</v>
      </c>
      <c r="Q569" s="1" t="s">
        <v>42</v>
      </c>
      <c r="R569" s="1" t="s">
        <v>43</v>
      </c>
      <c r="S569" s="1" t="s">
        <v>44</v>
      </c>
      <c r="T569" s="1" t="s">
        <v>44</v>
      </c>
      <c r="U569" s="1" t="s">
        <v>44</v>
      </c>
      <c r="V569" s="1" t="s">
        <v>45</v>
      </c>
      <c r="W569" s="1" t="s">
        <v>230</v>
      </c>
      <c r="X569" s="1" t="s">
        <v>194</v>
      </c>
      <c r="Z569" s="1">
        <v>17</v>
      </c>
      <c r="AA569" s="1" t="s">
        <v>44</v>
      </c>
      <c r="AB569" s="1">
        <v>0</v>
      </c>
      <c r="AD569" s="1">
        <v>2</v>
      </c>
      <c r="AE569" s="1">
        <v>32.5</v>
      </c>
      <c r="AF569" s="1">
        <v>21.2</v>
      </c>
      <c r="AG569" s="1">
        <v>13.9</v>
      </c>
      <c r="AH569" s="1">
        <v>0.01</v>
      </c>
      <c r="AI569" s="1">
        <v>1.88</v>
      </c>
    </row>
    <row r="570" spans="1:35">
      <c r="A570" s="1" t="s">
        <v>1209</v>
      </c>
      <c r="B570" s="1" t="s">
        <v>1210</v>
      </c>
      <c r="D570" s="1" t="s">
        <v>37</v>
      </c>
      <c r="F570" s="1">
        <v>1</v>
      </c>
      <c r="G570" s="1">
        <v>1</v>
      </c>
      <c r="H570" s="1" t="s">
        <v>38</v>
      </c>
      <c r="I570" s="1">
        <f>IF(J570="Renceng",(M570/10),(M570/15))</f>
        <v>12</v>
      </c>
      <c r="J570" s="1" t="s">
        <v>149</v>
      </c>
      <c r="K570" s="1">
        <f>M570/I570</f>
        <v>10</v>
      </c>
      <c r="L570" s="1" t="s">
        <v>120</v>
      </c>
      <c r="M570" s="1">
        <v>120</v>
      </c>
      <c r="N570" s="1" t="s">
        <v>229</v>
      </c>
      <c r="O570" s="1">
        <v>1</v>
      </c>
      <c r="P570" s="1" t="s">
        <v>41</v>
      </c>
      <c r="Q570" s="1" t="s">
        <v>42</v>
      </c>
      <c r="R570" s="1" t="s">
        <v>43</v>
      </c>
      <c r="S570" s="1" t="s">
        <v>44</v>
      </c>
      <c r="T570" s="1" t="s">
        <v>44</v>
      </c>
      <c r="U570" s="1" t="s">
        <v>44</v>
      </c>
      <c r="V570" s="1" t="s">
        <v>45</v>
      </c>
      <c r="W570" s="1" t="s">
        <v>151</v>
      </c>
      <c r="X570" s="1" t="s">
        <v>461</v>
      </c>
      <c r="Z570" s="1">
        <v>25</v>
      </c>
      <c r="AA570" s="1" t="s">
        <v>44</v>
      </c>
      <c r="AB570" s="1">
        <v>0</v>
      </c>
      <c r="AD570" s="1">
        <v>2</v>
      </c>
      <c r="AE570" s="1">
        <v>39.6</v>
      </c>
      <c r="AF570" s="1">
        <v>22</v>
      </c>
      <c r="AG570" s="1">
        <v>21</v>
      </c>
      <c r="AH570" s="1">
        <v>0.02</v>
      </c>
      <c r="AI570" s="1">
        <v>3.65</v>
      </c>
    </row>
    <row r="571" spans="1:35">
      <c r="A571" s="1" t="s">
        <v>1211</v>
      </c>
      <c r="B571" s="1" t="s">
        <v>1212</v>
      </c>
      <c r="D571" s="1" t="s">
        <v>37</v>
      </c>
      <c r="F571" s="1">
        <v>1</v>
      </c>
      <c r="G571" s="1">
        <v>1</v>
      </c>
      <c r="H571" s="1" t="s">
        <v>38</v>
      </c>
      <c r="I571" s="1"/>
      <c r="J571" s="1"/>
      <c r="K571" s="1">
        <v>20</v>
      </c>
      <c r="L571" s="1" t="s">
        <v>120</v>
      </c>
      <c r="M571" s="1">
        <v>20</v>
      </c>
      <c r="N571" s="1" t="s">
        <v>223</v>
      </c>
      <c r="O571" s="3">
        <v>2000</v>
      </c>
      <c r="P571" s="1" t="s">
        <v>41</v>
      </c>
      <c r="Q571" s="1" t="s">
        <v>42</v>
      </c>
      <c r="R571" s="1" t="s">
        <v>43</v>
      </c>
      <c r="S571" s="1" t="s">
        <v>44</v>
      </c>
      <c r="T571" s="1" t="s">
        <v>44</v>
      </c>
      <c r="U571" s="1" t="s">
        <v>44</v>
      </c>
      <c r="V571" s="1" t="s">
        <v>45</v>
      </c>
      <c r="W571" s="1" t="s">
        <v>46</v>
      </c>
      <c r="X571" s="1" t="s">
        <v>194</v>
      </c>
      <c r="Z571" s="1">
        <v>150</v>
      </c>
      <c r="AA571" s="1" t="s">
        <v>44</v>
      </c>
      <c r="AB571" s="3">
        <v>7645</v>
      </c>
      <c r="AD571" s="1">
        <v>2</v>
      </c>
      <c r="AE571" s="1">
        <v>42.4</v>
      </c>
      <c r="AF571" s="1">
        <v>26.8</v>
      </c>
      <c r="AG571" s="1">
        <v>14.2</v>
      </c>
      <c r="AH571" s="1">
        <v>0.02</v>
      </c>
      <c r="AI571" s="1">
        <v>3.32</v>
      </c>
    </row>
    <row r="572" spans="1:35">
      <c r="A572" s="1" t="s">
        <v>1213</v>
      </c>
      <c r="B572" s="1" t="s">
        <v>1214</v>
      </c>
      <c r="D572" s="1" t="s">
        <v>37</v>
      </c>
      <c r="F572" s="1">
        <v>1</v>
      </c>
      <c r="G572" s="1">
        <v>1</v>
      </c>
      <c r="H572" s="1" t="s">
        <v>38</v>
      </c>
      <c r="I572" s="1"/>
      <c r="J572" s="1"/>
      <c r="K572" s="1">
        <v>24</v>
      </c>
      <c r="L572" s="1" t="s">
        <v>120</v>
      </c>
      <c r="M572" s="1">
        <v>24</v>
      </c>
      <c r="N572" s="1" t="s">
        <v>351</v>
      </c>
      <c r="O572" s="3">
        <v>2400</v>
      </c>
      <c r="P572" s="1" t="s">
        <v>41</v>
      </c>
      <c r="Q572" s="1" t="s">
        <v>42</v>
      </c>
      <c r="R572" s="1" t="s">
        <v>43</v>
      </c>
      <c r="S572" s="1" t="s">
        <v>44</v>
      </c>
      <c r="T572" s="1" t="s">
        <v>44</v>
      </c>
      <c r="U572" s="1" t="s">
        <v>44</v>
      </c>
      <c r="V572" s="1" t="s">
        <v>45</v>
      </c>
      <c r="W572" s="1" t="s">
        <v>46</v>
      </c>
      <c r="X572" s="1" t="s">
        <v>194</v>
      </c>
      <c r="Z572" s="1">
        <v>200</v>
      </c>
      <c r="AA572" s="1" t="s">
        <v>44</v>
      </c>
      <c r="AB572" s="3">
        <v>49120</v>
      </c>
      <c r="AD572" s="1">
        <v>2</v>
      </c>
      <c r="AE572" s="1">
        <v>38.6</v>
      </c>
      <c r="AF572" s="1">
        <v>25.5</v>
      </c>
      <c r="AG572" s="1">
        <v>21.1</v>
      </c>
      <c r="AH572" s="1">
        <v>0.02</v>
      </c>
      <c r="AI572" s="1">
        <v>5.16</v>
      </c>
    </row>
    <row r="573" spans="1:35">
      <c r="A573" s="1" t="s">
        <v>1215</v>
      </c>
      <c r="B573" s="1" t="s">
        <v>1216</v>
      </c>
      <c r="D573" s="1" t="s">
        <v>37</v>
      </c>
      <c r="F573" s="1">
        <v>1</v>
      </c>
      <c r="G573" s="1">
        <v>1</v>
      </c>
      <c r="H573" s="1" t="s">
        <v>38</v>
      </c>
      <c r="I573" s="1"/>
      <c r="J573" s="1"/>
      <c r="K573" s="1">
        <v>12</v>
      </c>
      <c r="L573" s="1" t="s">
        <v>120</v>
      </c>
      <c r="M573" s="1">
        <v>12</v>
      </c>
      <c r="N573" s="1" t="s">
        <v>354</v>
      </c>
      <c r="O573" s="3">
        <v>1200</v>
      </c>
      <c r="P573" s="1" t="s">
        <v>41</v>
      </c>
      <c r="Q573" s="1" t="s">
        <v>42</v>
      </c>
      <c r="R573" s="1" t="s">
        <v>43</v>
      </c>
      <c r="S573" s="1" t="s">
        <v>44</v>
      </c>
      <c r="T573" s="1" t="s">
        <v>44</v>
      </c>
      <c r="U573" s="1" t="s">
        <v>44</v>
      </c>
      <c r="V573" s="1" t="s">
        <v>45</v>
      </c>
      <c r="W573" s="1" t="s">
        <v>46</v>
      </c>
      <c r="X573" s="1" t="s">
        <v>194</v>
      </c>
      <c r="Z573" s="1">
        <v>450</v>
      </c>
      <c r="AA573" s="1" t="s">
        <v>44</v>
      </c>
      <c r="AB573" s="3">
        <v>3133</v>
      </c>
      <c r="AD573" s="1">
        <v>2</v>
      </c>
      <c r="AE573" s="1">
        <v>38.6</v>
      </c>
      <c r="AF573" s="1">
        <v>25.5</v>
      </c>
      <c r="AG573" s="1">
        <v>21.1</v>
      </c>
      <c r="AH573" s="1">
        <v>0.02</v>
      </c>
      <c r="AI573" s="1">
        <v>5.73</v>
      </c>
    </row>
    <row r="574" spans="1:35">
      <c r="A574" s="1" t="s">
        <v>1217</v>
      </c>
      <c r="B574" s="1" t="s">
        <v>1218</v>
      </c>
      <c r="D574" s="1" t="s">
        <v>37</v>
      </c>
      <c r="F574" s="1">
        <v>1</v>
      </c>
      <c r="G574" s="1">
        <v>1</v>
      </c>
      <c r="H574" s="1" t="s">
        <v>38</v>
      </c>
      <c r="I574" s="1" t="str">
        <f>IF(ISNUMBER(SEARCH("Renceng",J574)),(K574/10)," ")</f>
        <v> </v>
      </c>
      <c r="J574" s="1" t="str">
        <f>IF(ISNUMBER(SEARCH("Rtg",B574)),"Renceng"," ")</f>
        <v> </v>
      </c>
      <c r="K574" s="1">
        <v>20</v>
      </c>
      <c r="L574" s="1" t="s">
        <v>120</v>
      </c>
      <c r="M574" s="1">
        <v>20</v>
      </c>
      <c r="N574" s="1" t="s">
        <v>223</v>
      </c>
      <c r="O574" s="3">
        <v>2000</v>
      </c>
      <c r="P574" s="1" t="s">
        <v>41</v>
      </c>
      <c r="Q574" s="1" t="s">
        <v>42</v>
      </c>
      <c r="R574" s="1" t="s">
        <v>43</v>
      </c>
      <c r="S574" s="1" t="s">
        <v>44</v>
      </c>
      <c r="T574" s="1" t="s">
        <v>44</v>
      </c>
      <c r="U574" s="1" t="s">
        <v>44</v>
      </c>
      <c r="V574" s="1" t="s">
        <v>45</v>
      </c>
      <c r="W574" s="1" t="s">
        <v>46</v>
      </c>
      <c r="X574" s="1" t="s">
        <v>194</v>
      </c>
      <c r="Z574" s="1">
        <v>150</v>
      </c>
      <c r="AA574" s="1" t="s">
        <v>44</v>
      </c>
      <c r="AB574" s="1">
        <v>91</v>
      </c>
      <c r="AD574" s="1">
        <v>2</v>
      </c>
      <c r="AE574" s="1">
        <v>42.4</v>
      </c>
      <c r="AF574" s="1">
        <v>26.8</v>
      </c>
      <c r="AG574" s="1">
        <v>14.2</v>
      </c>
      <c r="AH574" s="1">
        <v>0.02</v>
      </c>
      <c r="AI574" s="1">
        <v>3.35</v>
      </c>
    </row>
    <row r="575" spans="1:35">
      <c r="A575" s="1" t="s">
        <v>1219</v>
      </c>
      <c r="B575" s="1" t="s">
        <v>1220</v>
      </c>
      <c r="D575" s="1" t="s">
        <v>37</v>
      </c>
      <c r="F575" s="1">
        <v>1</v>
      </c>
      <c r="G575" s="1">
        <v>1</v>
      </c>
      <c r="H575" s="1" t="s">
        <v>38</v>
      </c>
      <c r="I575" s="1" t="str">
        <f>IF(ISNUMBER(SEARCH("Renceng",J575)),(K575/10)," ")</f>
        <v> </v>
      </c>
      <c r="J575" s="1" t="str">
        <f>IF(ISNUMBER(SEARCH("Rtg",B575)),"Renceng"," ")</f>
        <v> </v>
      </c>
      <c r="K575" s="1">
        <v>20</v>
      </c>
      <c r="L575" s="1" t="s">
        <v>120</v>
      </c>
      <c r="M575" s="1">
        <v>20</v>
      </c>
      <c r="N575" s="1" t="s">
        <v>223</v>
      </c>
      <c r="O575" s="1">
        <v>1</v>
      </c>
      <c r="P575" s="1" t="s">
        <v>41</v>
      </c>
      <c r="Q575" s="1" t="s">
        <v>42</v>
      </c>
      <c r="R575" s="1" t="s">
        <v>43</v>
      </c>
      <c r="S575" s="1" t="s">
        <v>44</v>
      </c>
      <c r="T575" s="1" t="s">
        <v>44</v>
      </c>
      <c r="U575" s="1" t="s">
        <v>44</v>
      </c>
      <c r="V575" s="1" t="s">
        <v>45</v>
      </c>
      <c r="W575" s="1" t="s">
        <v>46</v>
      </c>
      <c r="X575" s="1" t="s">
        <v>396</v>
      </c>
      <c r="Z575" s="1">
        <v>160</v>
      </c>
      <c r="AA575" s="1" t="s">
        <v>44</v>
      </c>
      <c r="AB575" s="1">
        <v>0</v>
      </c>
      <c r="AD575" s="1">
        <v>2</v>
      </c>
      <c r="AE575" s="1">
        <v>40.5</v>
      </c>
      <c r="AF575" s="1">
        <v>23.7</v>
      </c>
      <c r="AG575" s="1">
        <v>18.9</v>
      </c>
      <c r="AH575" s="1">
        <v>0.02</v>
      </c>
      <c r="AI575" s="3">
        <v>3200</v>
      </c>
    </row>
    <row r="576" spans="1:35">
      <c r="A576" s="1" t="s">
        <v>1221</v>
      </c>
      <c r="B576" s="1" t="s">
        <v>1222</v>
      </c>
      <c r="D576" s="1" t="s">
        <v>37</v>
      </c>
      <c r="F576" s="1">
        <v>1</v>
      </c>
      <c r="G576" s="1">
        <v>1</v>
      </c>
      <c r="H576" s="1" t="s">
        <v>38</v>
      </c>
      <c r="I576" s="1"/>
      <c r="J576" s="1"/>
      <c r="K576" s="1">
        <v>25</v>
      </c>
      <c r="L576" s="1" t="s">
        <v>120</v>
      </c>
      <c r="M576" s="1">
        <v>25</v>
      </c>
      <c r="N576" s="1" t="s">
        <v>448</v>
      </c>
      <c r="O576" s="3">
        <v>2500</v>
      </c>
      <c r="P576" s="1" t="s">
        <v>41</v>
      </c>
      <c r="Q576" s="1" t="s">
        <v>42</v>
      </c>
      <c r="R576" s="1" t="s">
        <v>43</v>
      </c>
      <c r="S576" s="1" t="s">
        <v>44</v>
      </c>
      <c r="T576" s="1" t="s">
        <v>44</v>
      </c>
      <c r="U576" s="1" t="s">
        <v>44</v>
      </c>
      <c r="V576" s="1" t="s">
        <v>45</v>
      </c>
      <c r="W576" s="1" t="s">
        <v>46</v>
      </c>
      <c r="X576" s="1" t="s">
        <v>430</v>
      </c>
      <c r="Z576" s="1">
        <v>120</v>
      </c>
      <c r="AA576" s="1" t="s">
        <v>44</v>
      </c>
      <c r="AB576" s="3">
        <v>1824679</v>
      </c>
      <c r="AD576" s="1">
        <v>2</v>
      </c>
      <c r="AE576" s="1">
        <v>36.7</v>
      </c>
      <c r="AF576" s="1">
        <v>24.7</v>
      </c>
      <c r="AG576" s="1">
        <v>18.4</v>
      </c>
      <c r="AH576" s="1">
        <v>0.02</v>
      </c>
      <c r="AI576" s="1">
        <v>3.39</v>
      </c>
    </row>
    <row r="577" spans="1:35">
      <c r="A577" s="1" t="s">
        <v>1223</v>
      </c>
      <c r="B577" s="1" t="s">
        <v>1224</v>
      </c>
      <c r="D577" s="1" t="s">
        <v>37</v>
      </c>
      <c r="F577" s="1">
        <v>1</v>
      </c>
      <c r="G577" s="1">
        <v>1</v>
      </c>
      <c r="H577" s="1" t="s">
        <v>38</v>
      </c>
      <c r="I577" s="1" t="str">
        <f>IF(ISNUMBER(SEARCH("Renceng",J577)),(K577/10)," ")</f>
        <v> </v>
      </c>
      <c r="J577" s="1" t="str">
        <f>IF(ISNUMBER(SEARCH("Rtg",B577)),"Renceng"," ")</f>
        <v> </v>
      </c>
      <c r="K577" s="1">
        <v>25</v>
      </c>
      <c r="L577" s="1" t="s">
        <v>120</v>
      </c>
      <c r="M577" s="1">
        <v>25</v>
      </c>
      <c r="N577" s="1" t="s">
        <v>448</v>
      </c>
      <c r="O577" s="3">
        <v>2500</v>
      </c>
      <c r="P577" s="1" t="s">
        <v>41</v>
      </c>
      <c r="Q577" s="1" t="s">
        <v>42</v>
      </c>
      <c r="R577" s="1" t="s">
        <v>43</v>
      </c>
      <c r="S577" s="1" t="s">
        <v>44</v>
      </c>
      <c r="T577" s="1" t="s">
        <v>44</v>
      </c>
      <c r="U577" s="1" t="s">
        <v>44</v>
      </c>
      <c r="V577" s="1" t="s">
        <v>45</v>
      </c>
      <c r="W577" s="1" t="s">
        <v>46</v>
      </c>
      <c r="X577" s="1" t="s">
        <v>430</v>
      </c>
      <c r="Z577" s="1">
        <v>120</v>
      </c>
      <c r="AA577" s="1" t="s">
        <v>44</v>
      </c>
      <c r="AB577" s="3">
        <v>2622</v>
      </c>
      <c r="AD577" s="1">
        <v>2</v>
      </c>
      <c r="AE577" s="1">
        <v>36.7</v>
      </c>
      <c r="AF577" s="1">
        <v>24.7</v>
      </c>
      <c r="AG577" s="1">
        <v>18.4</v>
      </c>
      <c r="AH577" s="1">
        <v>0.02</v>
      </c>
      <c r="AI577" s="1">
        <v>3.33</v>
      </c>
    </row>
    <row r="578" spans="1:35">
      <c r="A578" s="1" t="s">
        <v>1225</v>
      </c>
      <c r="B578" s="1" t="s">
        <v>1226</v>
      </c>
      <c r="D578" s="1" t="s">
        <v>37</v>
      </c>
      <c r="F578" s="1">
        <v>1</v>
      </c>
      <c r="G578" s="1">
        <v>1</v>
      </c>
      <c r="H578" s="1" t="s">
        <v>38</v>
      </c>
      <c r="I578" s="1" t="str">
        <f>IF(ISNUMBER(SEARCH("Renceng",J578)),(K578/10)," ")</f>
        <v> </v>
      </c>
      <c r="J578" s="1" t="str">
        <f>IF(ISNUMBER(SEARCH("Rtg",B578)),"Renceng"," ")</f>
        <v> </v>
      </c>
      <c r="K578" s="1">
        <v>25</v>
      </c>
      <c r="L578" s="1" t="s">
        <v>120</v>
      </c>
      <c r="M578" s="1">
        <v>25</v>
      </c>
      <c r="N578" s="1" t="s">
        <v>448</v>
      </c>
      <c r="O578" s="3">
        <v>2500</v>
      </c>
      <c r="P578" s="1" t="s">
        <v>41</v>
      </c>
      <c r="Q578" s="1" t="s">
        <v>42</v>
      </c>
      <c r="R578" s="1" t="s">
        <v>43</v>
      </c>
      <c r="S578" s="1" t="s">
        <v>44</v>
      </c>
      <c r="T578" s="1" t="s">
        <v>44</v>
      </c>
      <c r="U578" s="1" t="s">
        <v>44</v>
      </c>
      <c r="V578" s="1" t="s">
        <v>45</v>
      </c>
      <c r="W578" s="1" t="s">
        <v>46</v>
      </c>
      <c r="X578" s="1" t="s">
        <v>430</v>
      </c>
      <c r="Z578" s="1">
        <v>120</v>
      </c>
      <c r="AA578" s="1" t="s">
        <v>44</v>
      </c>
      <c r="AB578" s="1">
        <v>139</v>
      </c>
      <c r="AD578" s="1">
        <v>2</v>
      </c>
      <c r="AE578" s="1">
        <v>32.8</v>
      </c>
      <c r="AF578" s="1">
        <v>24.4</v>
      </c>
      <c r="AG578" s="1">
        <v>20.8</v>
      </c>
      <c r="AH578" s="1">
        <v>0.02</v>
      </c>
      <c r="AI578" s="1">
        <v>3.36</v>
      </c>
    </row>
    <row r="579" hidden="1" spans="1:35">
      <c r="A579" t="s">
        <v>1227</v>
      </c>
      <c r="B579" t="s">
        <v>1228</v>
      </c>
      <c r="D579" t="s">
        <v>37</v>
      </c>
      <c r="F579">
        <v>1</v>
      </c>
      <c r="G579">
        <v>1</v>
      </c>
      <c r="H579" t="s">
        <v>135</v>
      </c>
      <c r="K579">
        <v>1</v>
      </c>
      <c r="L579" t="s">
        <v>135</v>
      </c>
      <c r="M579" t="s">
        <v>136</v>
      </c>
      <c r="N579" t="s">
        <v>136</v>
      </c>
      <c r="O579">
        <v>25</v>
      </c>
      <c r="P579" t="s">
        <v>41</v>
      </c>
      <c r="Q579" t="s">
        <v>42</v>
      </c>
      <c r="R579" t="s">
        <v>43</v>
      </c>
      <c r="S579" t="s">
        <v>44</v>
      </c>
      <c r="T579" t="s">
        <v>44</v>
      </c>
      <c r="U579" t="s">
        <v>44</v>
      </c>
      <c r="V579" t="s">
        <v>45</v>
      </c>
      <c r="W579" t="s">
        <v>162</v>
      </c>
      <c r="X579" t="s">
        <v>297</v>
      </c>
      <c r="Z579" s="2">
        <v>1000</v>
      </c>
      <c r="AA579" t="s">
        <v>44</v>
      </c>
      <c r="AB579">
        <v>0</v>
      </c>
      <c r="AD579">
        <v>2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hidden="1" spans="1:35">
      <c r="A580" t="s">
        <v>1229</v>
      </c>
      <c r="B580" t="s">
        <v>1230</v>
      </c>
      <c r="D580" t="s">
        <v>37</v>
      </c>
      <c r="F580">
        <v>1</v>
      </c>
      <c r="G580">
        <v>1</v>
      </c>
      <c r="K580">
        <v>1</v>
      </c>
      <c r="L580" t="s">
        <v>39</v>
      </c>
      <c r="M580">
        <v>24</v>
      </c>
      <c r="N580" t="s">
        <v>40</v>
      </c>
      <c r="O580">
        <v>1</v>
      </c>
      <c r="P580" t="s">
        <v>41</v>
      </c>
      <c r="Q580" t="s">
        <v>42</v>
      </c>
      <c r="R580" t="s">
        <v>43</v>
      </c>
      <c r="S580" t="s">
        <v>44</v>
      </c>
      <c r="T580" t="s">
        <v>44</v>
      </c>
      <c r="U580" t="s">
        <v>44</v>
      </c>
      <c r="V580" t="s">
        <v>45</v>
      </c>
      <c r="W580" t="s">
        <v>151</v>
      </c>
      <c r="X580" t="s">
        <v>461</v>
      </c>
      <c r="Z580">
        <v>125</v>
      </c>
      <c r="AA580" t="s">
        <v>44</v>
      </c>
      <c r="AB580">
        <v>0</v>
      </c>
      <c r="AD580">
        <v>2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>
      <c r="A581" t="s">
        <v>1231</v>
      </c>
      <c r="B581" t="s">
        <v>1232</v>
      </c>
      <c r="D581" t="s">
        <v>37</v>
      </c>
      <c r="F581">
        <v>1</v>
      </c>
      <c r="G581">
        <v>1</v>
      </c>
      <c r="H581" t="s">
        <v>38</v>
      </c>
      <c r="K581">
        <v>12</v>
      </c>
      <c r="L581" t="s">
        <v>53</v>
      </c>
      <c r="M581">
        <v>12</v>
      </c>
      <c r="N581" t="s">
        <v>216</v>
      </c>
      <c r="O581" s="2">
        <v>1200</v>
      </c>
      <c r="P581" t="s">
        <v>41</v>
      </c>
      <c r="Q581" t="s">
        <v>42</v>
      </c>
      <c r="R581" t="s">
        <v>43</v>
      </c>
      <c r="S581" t="s">
        <v>44</v>
      </c>
      <c r="T581" t="s">
        <v>44</v>
      </c>
      <c r="U581" t="s">
        <v>44</v>
      </c>
      <c r="V581" t="s">
        <v>45</v>
      </c>
      <c r="W581" t="s">
        <v>151</v>
      </c>
      <c r="X581" t="s">
        <v>461</v>
      </c>
      <c r="Z581">
        <v>250</v>
      </c>
      <c r="AA581" t="s">
        <v>44</v>
      </c>
      <c r="AB581" s="2">
        <v>1137</v>
      </c>
      <c r="AD581">
        <v>2</v>
      </c>
      <c r="AE581">
        <v>38.6</v>
      </c>
      <c r="AF581">
        <v>25.6</v>
      </c>
      <c r="AG581">
        <v>17.8</v>
      </c>
      <c r="AH581">
        <v>0.02</v>
      </c>
      <c r="AI581">
        <v>3.63</v>
      </c>
    </row>
    <row r="582" spans="1:35">
      <c r="A582" t="s">
        <v>1233</v>
      </c>
      <c r="B582" t="s">
        <v>1234</v>
      </c>
      <c r="D582" t="s">
        <v>37</v>
      </c>
      <c r="F582">
        <v>1</v>
      </c>
      <c r="G582">
        <v>1</v>
      </c>
      <c r="H582" t="s">
        <v>38</v>
      </c>
      <c r="K582">
        <v>12</v>
      </c>
      <c r="L582" t="s">
        <v>53</v>
      </c>
      <c r="M582">
        <v>12</v>
      </c>
      <c r="N582" t="s">
        <v>216</v>
      </c>
      <c r="O582" s="2">
        <v>1200</v>
      </c>
      <c r="P582" t="s">
        <v>41</v>
      </c>
      <c r="Q582" t="s">
        <v>42</v>
      </c>
      <c r="R582" t="s">
        <v>43</v>
      </c>
      <c r="S582" t="s">
        <v>44</v>
      </c>
      <c r="T582" t="s">
        <v>44</v>
      </c>
      <c r="U582" t="s">
        <v>44</v>
      </c>
      <c r="V582" t="s">
        <v>45</v>
      </c>
      <c r="W582" t="s">
        <v>151</v>
      </c>
      <c r="X582" t="s">
        <v>461</v>
      </c>
      <c r="Z582">
        <v>250</v>
      </c>
      <c r="AA582" t="s">
        <v>44</v>
      </c>
      <c r="AB582">
        <v>23</v>
      </c>
      <c r="AD582">
        <v>2</v>
      </c>
      <c r="AE582">
        <v>38.6</v>
      </c>
      <c r="AF582">
        <v>25.6</v>
      </c>
      <c r="AG582">
        <v>17.8</v>
      </c>
      <c r="AH582">
        <v>0.02</v>
      </c>
      <c r="AI582">
        <v>3.63</v>
      </c>
    </row>
    <row r="583" spans="1:35">
      <c r="A583" t="s">
        <v>1235</v>
      </c>
      <c r="B583" t="s">
        <v>1236</v>
      </c>
      <c r="D583" t="s">
        <v>37</v>
      </c>
      <c r="F583">
        <v>1</v>
      </c>
      <c r="G583">
        <v>1</v>
      </c>
      <c r="H583" t="s">
        <v>38</v>
      </c>
      <c r="I583" t="str">
        <f t="shared" ref="I583:I588" si="11">IF(ISNUMBER(SEARCH("Renceng",J583)),(K583/10)," ")</f>
        <v> </v>
      </c>
      <c r="J583" t="str">
        <f t="shared" ref="J583:J588" si="12">IF(ISNUMBER(SEARCH("Rtg",B583)),"Renceng"," ")</f>
        <v> </v>
      </c>
      <c r="K583">
        <v>12</v>
      </c>
      <c r="L583" t="s">
        <v>53</v>
      </c>
      <c r="M583">
        <v>12</v>
      </c>
      <c r="N583" t="s">
        <v>216</v>
      </c>
      <c r="O583" s="2">
        <v>1200</v>
      </c>
      <c r="P583" t="s">
        <v>41</v>
      </c>
      <c r="Q583" t="s">
        <v>42</v>
      </c>
      <c r="R583" t="s">
        <v>43</v>
      </c>
      <c r="S583" t="s">
        <v>44</v>
      </c>
      <c r="T583" t="s">
        <v>44</v>
      </c>
      <c r="U583" t="s">
        <v>44</v>
      </c>
      <c r="V583" t="s">
        <v>45</v>
      </c>
      <c r="W583" t="s">
        <v>151</v>
      </c>
      <c r="X583" t="s">
        <v>461</v>
      </c>
      <c r="Z583">
        <v>250</v>
      </c>
      <c r="AA583" t="s">
        <v>44</v>
      </c>
      <c r="AB583">
        <v>0</v>
      </c>
      <c r="AD583">
        <v>2</v>
      </c>
      <c r="AE583">
        <v>38.6</v>
      </c>
      <c r="AF583">
        <v>25.6</v>
      </c>
      <c r="AG583">
        <v>17.8</v>
      </c>
      <c r="AH583">
        <v>0.02</v>
      </c>
      <c r="AI583">
        <v>3.57</v>
      </c>
    </row>
    <row r="584" spans="1:35">
      <c r="A584" t="s">
        <v>1237</v>
      </c>
      <c r="B584" t="s">
        <v>1238</v>
      </c>
      <c r="D584" t="s">
        <v>37</v>
      </c>
      <c r="F584">
        <v>1</v>
      </c>
      <c r="G584">
        <v>1</v>
      </c>
      <c r="H584" t="s">
        <v>38</v>
      </c>
      <c r="K584">
        <v>6</v>
      </c>
      <c r="L584" t="s">
        <v>53</v>
      </c>
      <c r="M584">
        <v>6</v>
      </c>
      <c r="N584" t="s">
        <v>735</v>
      </c>
      <c r="O584">
        <v>600</v>
      </c>
      <c r="P584" t="s">
        <v>41</v>
      </c>
      <c r="Q584" t="s">
        <v>42</v>
      </c>
      <c r="R584" t="s">
        <v>43</v>
      </c>
      <c r="S584" t="s">
        <v>44</v>
      </c>
      <c r="T584" t="s">
        <v>44</v>
      </c>
      <c r="U584" t="s">
        <v>44</v>
      </c>
      <c r="V584" t="s">
        <v>45</v>
      </c>
      <c r="W584" t="s">
        <v>151</v>
      </c>
      <c r="X584" t="s">
        <v>461</v>
      </c>
      <c r="Z584">
        <v>750</v>
      </c>
      <c r="AA584" t="s">
        <v>44</v>
      </c>
      <c r="AB584">
        <v>6</v>
      </c>
      <c r="AD584">
        <v>2</v>
      </c>
      <c r="AE584">
        <v>39.2</v>
      </c>
      <c r="AF584">
        <v>25</v>
      </c>
      <c r="AG584">
        <v>27.7</v>
      </c>
      <c r="AH584">
        <v>0.03</v>
      </c>
      <c r="AI584">
        <v>5.51</v>
      </c>
    </row>
    <row r="585" spans="1:35">
      <c r="A585" t="s">
        <v>1239</v>
      </c>
      <c r="B585" t="s">
        <v>1240</v>
      </c>
      <c r="D585" t="s">
        <v>37</v>
      </c>
      <c r="F585">
        <v>1</v>
      </c>
      <c r="G585">
        <v>1</v>
      </c>
      <c r="H585" t="s">
        <v>38</v>
      </c>
      <c r="K585">
        <v>6</v>
      </c>
      <c r="L585" t="s">
        <v>53</v>
      </c>
      <c r="M585">
        <v>6</v>
      </c>
      <c r="N585" t="s">
        <v>735</v>
      </c>
      <c r="O585">
        <v>600</v>
      </c>
      <c r="P585" t="s">
        <v>41</v>
      </c>
      <c r="Q585" t="s">
        <v>42</v>
      </c>
      <c r="R585" t="s">
        <v>43</v>
      </c>
      <c r="S585" t="s">
        <v>44</v>
      </c>
      <c r="T585" t="s">
        <v>44</v>
      </c>
      <c r="U585" t="s">
        <v>44</v>
      </c>
      <c r="V585" t="s">
        <v>45</v>
      </c>
      <c r="W585" t="s">
        <v>151</v>
      </c>
      <c r="X585" t="s">
        <v>461</v>
      </c>
      <c r="Z585">
        <v>750</v>
      </c>
      <c r="AA585" t="s">
        <v>44</v>
      </c>
      <c r="AB585">
        <v>4</v>
      </c>
      <c r="AD585">
        <v>2</v>
      </c>
      <c r="AE585">
        <v>39.2</v>
      </c>
      <c r="AF585">
        <v>25</v>
      </c>
      <c r="AG585">
        <v>27.7</v>
      </c>
      <c r="AH585">
        <v>0.03</v>
      </c>
      <c r="AI585">
        <v>5.51</v>
      </c>
    </row>
    <row r="586" hidden="1" spans="1:35">
      <c r="A586" t="s">
        <v>1241</v>
      </c>
      <c r="B586" t="s">
        <v>1242</v>
      </c>
      <c r="D586" t="s">
        <v>37</v>
      </c>
      <c r="F586">
        <v>1</v>
      </c>
      <c r="G586">
        <v>1</v>
      </c>
      <c r="K586">
        <v>1</v>
      </c>
      <c r="L586" t="s">
        <v>53</v>
      </c>
      <c r="M586">
        <v>12</v>
      </c>
      <c r="N586" t="s">
        <v>216</v>
      </c>
      <c r="O586">
        <v>1</v>
      </c>
      <c r="P586" t="s">
        <v>41</v>
      </c>
      <c r="Q586" t="s">
        <v>42</v>
      </c>
      <c r="R586" t="s">
        <v>43</v>
      </c>
      <c r="S586" t="s">
        <v>44</v>
      </c>
      <c r="T586" t="s">
        <v>44</v>
      </c>
      <c r="U586" t="s">
        <v>44</v>
      </c>
      <c r="V586" t="s">
        <v>45</v>
      </c>
      <c r="W586" t="s">
        <v>151</v>
      </c>
      <c r="X586" t="s">
        <v>461</v>
      </c>
      <c r="Z586">
        <v>150</v>
      </c>
      <c r="AA586" t="s">
        <v>44</v>
      </c>
      <c r="AB586">
        <v>0</v>
      </c>
      <c r="AD586">
        <v>2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>
      <c r="A587" t="s">
        <v>1243</v>
      </c>
      <c r="B587" t="s">
        <v>1244</v>
      </c>
      <c r="D587" t="s">
        <v>37</v>
      </c>
      <c r="F587">
        <v>1</v>
      </c>
      <c r="G587">
        <v>1</v>
      </c>
      <c r="H587" t="s">
        <v>38</v>
      </c>
      <c r="I587" t="str">
        <f t="shared" si="11"/>
        <v> </v>
      </c>
      <c r="J587" t="str">
        <f t="shared" si="12"/>
        <v> </v>
      </c>
      <c r="K587">
        <v>12</v>
      </c>
      <c r="L587" t="s">
        <v>53</v>
      </c>
      <c r="M587">
        <v>12</v>
      </c>
      <c r="N587" t="s">
        <v>216</v>
      </c>
      <c r="O587" s="2">
        <v>1200</v>
      </c>
      <c r="P587" t="s">
        <v>41</v>
      </c>
      <c r="Q587" t="s">
        <v>42</v>
      </c>
      <c r="R587" t="s">
        <v>43</v>
      </c>
      <c r="S587" t="s">
        <v>44</v>
      </c>
      <c r="T587" t="s">
        <v>44</v>
      </c>
      <c r="U587" t="s">
        <v>44</v>
      </c>
      <c r="V587" t="s">
        <v>45</v>
      </c>
      <c r="W587" t="s">
        <v>151</v>
      </c>
      <c r="X587" t="s">
        <v>461</v>
      </c>
      <c r="Z587">
        <v>225</v>
      </c>
      <c r="AA587" t="s">
        <v>44</v>
      </c>
      <c r="AB587">
        <v>0</v>
      </c>
      <c r="AD587">
        <v>2</v>
      </c>
      <c r="AE587">
        <v>38.6</v>
      </c>
      <c r="AF587">
        <v>25.6</v>
      </c>
      <c r="AG587">
        <v>17.8</v>
      </c>
      <c r="AH587">
        <v>0.02</v>
      </c>
      <c r="AI587">
        <v>3.27</v>
      </c>
    </row>
    <row r="588" spans="1:35">
      <c r="A588" t="s">
        <v>1245</v>
      </c>
      <c r="B588" t="s">
        <v>1246</v>
      </c>
      <c r="D588" t="s">
        <v>37</v>
      </c>
      <c r="F588">
        <v>1</v>
      </c>
      <c r="G588">
        <v>1</v>
      </c>
      <c r="H588" t="s">
        <v>38</v>
      </c>
      <c r="I588" t="str">
        <f t="shared" si="11"/>
        <v> </v>
      </c>
      <c r="J588" t="str">
        <f t="shared" si="12"/>
        <v> </v>
      </c>
      <c r="K588">
        <v>12</v>
      </c>
      <c r="L588" t="s">
        <v>53</v>
      </c>
      <c r="M588">
        <v>12</v>
      </c>
      <c r="N588" t="s">
        <v>216</v>
      </c>
      <c r="O588" s="2">
        <v>1200</v>
      </c>
      <c r="P588" t="s">
        <v>41</v>
      </c>
      <c r="Q588" t="s">
        <v>42</v>
      </c>
      <c r="R588" t="s">
        <v>43</v>
      </c>
      <c r="S588" t="s">
        <v>44</v>
      </c>
      <c r="T588" t="s">
        <v>44</v>
      </c>
      <c r="U588" t="s">
        <v>44</v>
      </c>
      <c r="V588" t="s">
        <v>45</v>
      </c>
      <c r="W588" t="s">
        <v>151</v>
      </c>
      <c r="X588" t="s">
        <v>461</v>
      </c>
      <c r="Z588">
        <v>225</v>
      </c>
      <c r="AA588" t="s">
        <v>44</v>
      </c>
      <c r="AB588">
        <v>0</v>
      </c>
      <c r="AD588">
        <v>2</v>
      </c>
      <c r="AE588">
        <v>38.6</v>
      </c>
      <c r="AF588">
        <v>25.6</v>
      </c>
      <c r="AG588">
        <v>17.8</v>
      </c>
      <c r="AH588">
        <v>0.02</v>
      </c>
      <c r="AI588">
        <v>3.27</v>
      </c>
    </row>
    <row r="589" spans="1:35">
      <c r="A589" s="1" t="s">
        <v>1247</v>
      </c>
      <c r="B589" s="1" t="s">
        <v>1248</v>
      </c>
      <c r="D589" s="1" t="s">
        <v>37</v>
      </c>
      <c r="F589" s="1">
        <v>1</v>
      </c>
      <c r="G589" s="1">
        <v>1</v>
      </c>
      <c r="H589" s="1" t="s">
        <v>38</v>
      </c>
      <c r="I589" s="1">
        <f>IF(J589="Renceng",(M589/10),(M589/15))</f>
        <v>5</v>
      </c>
      <c r="J589" s="1" t="s">
        <v>149</v>
      </c>
      <c r="K589" s="1">
        <v>50</v>
      </c>
      <c r="L589" s="1" t="s">
        <v>120</v>
      </c>
      <c r="M589" s="1">
        <v>50</v>
      </c>
      <c r="N589" s="1" t="s">
        <v>205</v>
      </c>
      <c r="O589" s="3">
        <v>5000</v>
      </c>
      <c r="P589" s="1" t="s">
        <v>41</v>
      </c>
      <c r="Q589" s="1" t="s">
        <v>42</v>
      </c>
      <c r="R589" s="1" t="s">
        <v>43</v>
      </c>
      <c r="S589" s="1" t="s">
        <v>44</v>
      </c>
      <c r="T589" s="1" t="s">
        <v>44</v>
      </c>
      <c r="U589" s="1" t="s">
        <v>44</v>
      </c>
      <c r="V589" s="1" t="s">
        <v>45</v>
      </c>
      <c r="W589" s="1" t="s">
        <v>46</v>
      </c>
      <c r="X589" s="1" t="s">
        <v>430</v>
      </c>
      <c r="Z589" s="1">
        <v>60</v>
      </c>
      <c r="AA589" s="1" t="s">
        <v>44</v>
      </c>
      <c r="AB589" s="1">
        <v>0</v>
      </c>
      <c r="AD589" s="1">
        <v>2</v>
      </c>
      <c r="AE589" s="1">
        <v>37.3</v>
      </c>
      <c r="AF589" s="1">
        <v>25.4</v>
      </c>
      <c r="AG589" s="1">
        <v>14.1</v>
      </c>
      <c r="AH589" s="1">
        <v>0.01</v>
      </c>
      <c r="AI589" s="1">
        <v>1.93</v>
      </c>
    </row>
    <row r="590" spans="1:35">
      <c r="A590" s="1" t="s">
        <v>1249</v>
      </c>
      <c r="B590" s="1" t="s">
        <v>1250</v>
      </c>
      <c r="D590" s="1" t="s">
        <v>37</v>
      </c>
      <c r="F590" s="1">
        <v>1</v>
      </c>
      <c r="G590" s="1">
        <v>1</v>
      </c>
      <c r="H590" s="1" t="s">
        <v>38</v>
      </c>
      <c r="I590" s="1" t="str">
        <f>IF(ISNUMBER(SEARCH("Renceng",J590)),(K590/10)," ")</f>
        <v> </v>
      </c>
      <c r="J590" s="1" t="str">
        <f>IF(ISNUMBER(SEARCH("Rtg",B590)),"Renceng"," ")</f>
        <v> </v>
      </c>
      <c r="K590" s="1">
        <v>20</v>
      </c>
      <c r="L590" s="1" t="s">
        <v>120</v>
      </c>
      <c r="M590" s="1">
        <v>20</v>
      </c>
      <c r="N590" s="1" t="s">
        <v>223</v>
      </c>
      <c r="O590" s="3">
        <v>2000</v>
      </c>
      <c r="P590" s="1" t="s">
        <v>41</v>
      </c>
      <c r="Q590" s="1" t="s">
        <v>42</v>
      </c>
      <c r="R590" s="1" t="s">
        <v>43</v>
      </c>
      <c r="S590" s="1" t="s">
        <v>44</v>
      </c>
      <c r="T590" s="1" t="s">
        <v>44</v>
      </c>
      <c r="U590" s="1" t="s">
        <v>44</v>
      </c>
      <c r="V590" s="1" t="s">
        <v>45</v>
      </c>
      <c r="W590" s="1" t="s">
        <v>46</v>
      </c>
      <c r="X590" s="1" t="s">
        <v>194</v>
      </c>
      <c r="Z590" s="1">
        <v>165</v>
      </c>
      <c r="AA590" s="1" t="s">
        <v>44</v>
      </c>
      <c r="AB590" s="1">
        <v>0</v>
      </c>
      <c r="AD590" s="1">
        <v>2</v>
      </c>
      <c r="AE590" s="1">
        <v>46.1</v>
      </c>
      <c r="AF590" s="1">
        <v>21.5</v>
      </c>
      <c r="AG590" s="1">
        <v>19.5</v>
      </c>
      <c r="AH590" s="1">
        <v>0.02</v>
      </c>
      <c r="AI590" s="1">
        <v>3.77</v>
      </c>
    </row>
    <row r="591" spans="1:35">
      <c r="A591" s="1" t="s">
        <v>1251</v>
      </c>
      <c r="B591" s="1" t="s">
        <v>1252</v>
      </c>
      <c r="D591" s="1" t="s">
        <v>37</v>
      </c>
      <c r="E591" t="s">
        <v>38</v>
      </c>
      <c r="F591" s="1">
        <v>900</v>
      </c>
      <c r="G591" s="1">
        <v>1</v>
      </c>
      <c r="H591" s="1" t="s">
        <v>38</v>
      </c>
      <c r="I591" s="1"/>
      <c r="J591" s="1"/>
      <c r="K591" s="1">
        <v>900</v>
      </c>
      <c r="L591" s="1" t="s">
        <v>120</v>
      </c>
      <c r="M591" s="1">
        <v>900</v>
      </c>
      <c r="N591" s="1" t="s">
        <v>389</v>
      </c>
      <c r="O591" s="3">
        <v>90000</v>
      </c>
      <c r="P591" s="1" t="s">
        <v>41</v>
      </c>
      <c r="Q591" s="1" t="s">
        <v>42</v>
      </c>
      <c r="R591" s="1" t="s">
        <v>43</v>
      </c>
      <c r="S591" s="1" t="s">
        <v>44</v>
      </c>
      <c r="T591" s="1" t="s">
        <v>44</v>
      </c>
      <c r="U591" s="1" t="s">
        <v>44</v>
      </c>
      <c r="V591" s="1" t="s">
        <v>45</v>
      </c>
      <c r="W591" s="1" t="s">
        <v>46</v>
      </c>
      <c r="X591" s="1" t="s">
        <v>390</v>
      </c>
      <c r="Z591" s="1">
        <v>8</v>
      </c>
      <c r="AA591" s="1" t="s">
        <v>44</v>
      </c>
      <c r="AB591" s="1">
        <v>0</v>
      </c>
      <c r="AD591" s="1">
        <v>2</v>
      </c>
      <c r="AE591" s="1">
        <v>46</v>
      </c>
      <c r="AF591" s="1">
        <v>35.6</v>
      </c>
      <c r="AG591" s="1">
        <v>30.4</v>
      </c>
      <c r="AH591" s="1">
        <v>0.05</v>
      </c>
      <c r="AI591" s="1">
        <v>8.63</v>
      </c>
    </row>
    <row r="592" spans="1:35">
      <c r="A592" s="1" t="s">
        <v>1253</v>
      </c>
      <c r="B592" s="1" t="s">
        <v>1254</v>
      </c>
      <c r="D592" s="1" t="s">
        <v>37</v>
      </c>
      <c r="F592" s="1">
        <v>1</v>
      </c>
      <c r="G592" s="1">
        <v>1</v>
      </c>
      <c r="H592" s="1" t="s">
        <v>38</v>
      </c>
      <c r="I592" s="1" t="str">
        <f>IF(ISNUMBER(SEARCH("Renceng",J592)),(K592/10)," ")</f>
        <v> </v>
      </c>
      <c r="J592" s="1" t="str">
        <f>IF(ISNUMBER(SEARCH("Rtg",B592)),"Renceng"," ")</f>
        <v> </v>
      </c>
      <c r="K592" s="1">
        <v>24</v>
      </c>
      <c r="L592" s="1" t="s">
        <v>120</v>
      </c>
      <c r="M592" s="1">
        <v>24</v>
      </c>
      <c r="N592" s="1" t="s">
        <v>351</v>
      </c>
      <c r="O592" s="3">
        <v>2400</v>
      </c>
      <c r="P592" s="1" t="s">
        <v>41</v>
      </c>
      <c r="Q592" s="1" t="s">
        <v>42</v>
      </c>
      <c r="R592" s="1" t="s">
        <v>43</v>
      </c>
      <c r="S592" s="1" t="s">
        <v>44</v>
      </c>
      <c r="T592" s="1" t="s">
        <v>44</v>
      </c>
      <c r="U592" s="1" t="s">
        <v>44</v>
      </c>
      <c r="V592" s="1" t="s">
        <v>45</v>
      </c>
      <c r="W592" s="1" t="s">
        <v>46</v>
      </c>
      <c r="X592" s="1" t="s">
        <v>430</v>
      </c>
      <c r="Z592" s="1">
        <v>200</v>
      </c>
      <c r="AA592" s="1" t="s">
        <v>44</v>
      </c>
      <c r="AB592" s="1">
        <v>6</v>
      </c>
      <c r="AD592" s="1">
        <v>2</v>
      </c>
      <c r="AE592" s="1">
        <v>38.6</v>
      </c>
      <c r="AF592" s="1">
        <v>25.8</v>
      </c>
      <c r="AG592" s="1">
        <v>20.3</v>
      </c>
      <c r="AH592" s="1">
        <v>0.02</v>
      </c>
      <c r="AI592" s="1">
        <v>5.1</v>
      </c>
    </row>
    <row r="593" spans="1:35">
      <c r="A593" s="1" t="s">
        <v>1255</v>
      </c>
      <c r="B593" s="1" t="s">
        <v>1256</v>
      </c>
      <c r="D593" s="1" t="s">
        <v>37</v>
      </c>
      <c r="F593" s="1">
        <v>1</v>
      </c>
      <c r="G593" s="1">
        <v>1</v>
      </c>
      <c r="H593" s="1" t="s">
        <v>38</v>
      </c>
      <c r="I593" s="1"/>
      <c r="J593" s="1"/>
      <c r="K593" s="1">
        <v>20</v>
      </c>
      <c r="L593" s="1" t="s">
        <v>120</v>
      </c>
      <c r="M593" s="1">
        <v>20</v>
      </c>
      <c r="N593" s="1" t="s">
        <v>223</v>
      </c>
      <c r="O593" s="3">
        <v>2000</v>
      </c>
      <c r="P593" s="1" t="s">
        <v>41</v>
      </c>
      <c r="Q593" s="1" t="s">
        <v>42</v>
      </c>
      <c r="R593" s="1" t="s">
        <v>44</v>
      </c>
      <c r="S593" s="1" t="s">
        <v>44</v>
      </c>
      <c r="T593" s="1" t="s">
        <v>44</v>
      </c>
      <c r="U593" s="1" t="s">
        <v>44</v>
      </c>
      <c r="V593" s="1" t="s">
        <v>45</v>
      </c>
      <c r="W593" s="1" t="s">
        <v>46</v>
      </c>
      <c r="X593" s="1" t="s">
        <v>396</v>
      </c>
      <c r="Z593" s="1">
        <v>120</v>
      </c>
      <c r="AA593" s="1" t="s">
        <v>44</v>
      </c>
      <c r="AB593" s="3">
        <v>118268</v>
      </c>
      <c r="AD593" s="1">
        <v>2</v>
      </c>
      <c r="AE593" s="1">
        <v>40.5</v>
      </c>
      <c r="AF593" s="1">
        <v>23.5</v>
      </c>
      <c r="AG593" s="1">
        <v>19.3</v>
      </c>
      <c r="AH593" s="1">
        <v>0.02</v>
      </c>
      <c r="AI593" s="1">
        <v>2.8</v>
      </c>
    </row>
    <row r="594" hidden="1" spans="1:35">
      <c r="A594" t="s">
        <v>1257</v>
      </c>
      <c r="B594" t="s">
        <v>1258</v>
      </c>
      <c r="D594" t="s">
        <v>37</v>
      </c>
      <c r="F594">
        <v>1</v>
      </c>
      <c r="G594">
        <v>1</v>
      </c>
      <c r="K594">
        <v>1</v>
      </c>
      <c r="L594" t="s">
        <v>39</v>
      </c>
      <c r="M594">
        <v>36</v>
      </c>
      <c r="N594" t="s">
        <v>186</v>
      </c>
      <c r="O594">
        <v>1</v>
      </c>
      <c r="P594" t="s">
        <v>41</v>
      </c>
      <c r="Q594" t="s">
        <v>42</v>
      </c>
      <c r="R594" t="s">
        <v>43</v>
      </c>
      <c r="S594" t="s">
        <v>44</v>
      </c>
      <c r="T594" t="s">
        <v>44</v>
      </c>
      <c r="U594" t="s">
        <v>44</v>
      </c>
      <c r="V594" t="s">
        <v>45</v>
      </c>
      <c r="W594" t="s">
        <v>151</v>
      </c>
      <c r="X594" t="s">
        <v>461</v>
      </c>
      <c r="Z594">
        <v>100</v>
      </c>
      <c r="AA594" t="s">
        <v>44</v>
      </c>
      <c r="AB594">
        <v>0</v>
      </c>
      <c r="AD594">
        <v>2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>
      <c r="A595" t="s">
        <v>1259</v>
      </c>
      <c r="B595" t="s">
        <v>1260</v>
      </c>
      <c r="D595" t="s">
        <v>37</v>
      </c>
      <c r="F595">
        <v>1</v>
      </c>
      <c r="G595">
        <v>1</v>
      </c>
      <c r="H595" t="s">
        <v>38</v>
      </c>
      <c r="K595">
        <v>25</v>
      </c>
      <c r="L595" t="s">
        <v>53</v>
      </c>
      <c r="M595">
        <v>25</v>
      </c>
      <c r="N595" t="s">
        <v>211</v>
      </c>
      <c r="O595" s="2">
        <v>2500</v>
      </c>
      <c r="P595" t="s">
        <v>41</v>
      </c>
      <c r="Q595" t="s">
        <v>42</v>
      </c>
      <c r="R595" t="s">
        <v>43</v>
      </c>
      <c r="S595" t="s">
        <v>44</v>
      </c>
      <c r="T595" t="s">
        <v>44</v>
      </c>
      <c r="U595" t="s">
        <v>44</v>
      </c>
      <c r="V595" t="s">
        <v>45</v>
      </c>
      <c r="W595" t="s">
        <v>151</v>
      </c>
      <c r="X595" t="s">
        <v>461</v>
      </c>
      <c r="Z595">
        <v>200</v>
      </c>
      <c r="AA595" t="s">
        <v>44</v>
      </c>
      <c r="AB595">
        <v>746</v>
      </c>
      <c r="AD595">
        <v>2</v>
      </c>
      <c r="AE595">
        <v>38.6</v>
      </c>
      <c r="AF595">
        <v>25.6</v>
      </c>
      <c r="AG595">
        <v>17.8</v>
      </c>
      <c r="AH595">
        <v>0.02</v>
      </c>
      <c r="AI595">
        <v>5.62</v>
      </c>
    </row>
    <row r="596" spans="1:35">
      <c r="A596" t="s">
        <v>1261</v>
      </c>
      <c r="B596" t="s">
        <v>1262</v>
      </c>
      <c r="D596" t="s">
        <v>37</v>
      </c>
      <c r="F596">
        <v>1</v>
      </c>
      <c r="G596">
        <v>1</v>
      </c>
      <c r="H596" t="s">
        <v>38</v>
      </c>
      <c r="K596">
        <v>25</v>
      </c>
      <c r="L596" t="s">
        <v>53</v>
      </c>
      <c r="M596">
        <v>25</v>
      </c>
      <c r="N596" t="s">
        <v>211</v>
      </c>
      <c r="O596" s="2">
        <v>2500</v>
      </c>
      <c r="P596" t="s">
        <v>41</v>
      </c>
      <c r="Q596" t="s">
        <v>42</v>
      </c>
      <c r="R596" t="s">
        <v>43</v>
      </c>
      <c r="S596" t="s">
        <v>44</v>
      </c>
      <c r="T596" t="s">
        <v>44</v>
      </c>
      <c r="U596" t="s">
        <v>44</v>
      </c>
      <c r="V596" t="s">
        <v>45</v>
      </c>
      <c r="W596" t="s">
        <v>151</v>
      </c>
      <c r="X596" t="s">
        <v>461</v>
      </c>
      <c r="Z596">
        <v>200</v>
      </c>
      <c r="AA596" t="s">
        <v>44</v>
      </c>
      <c r="AB596">
        <v>3</v>
      </c>
      <c r="AD596">
        <v>2</v>
      </c>
      <c r="AE596">
        <v>38.6</v>
      </c>
      <c r="AF596">
        <v>25.6</v>
      </c>
      <c r="AG596">
        <v>17.8</v>
      </c>
      <c r="AH596">
        <v>0.02</v>
      </c>
      <c r="AI596">
        <v>5.62</v>
      </c>
    </row>
    <row r="597" spans="1:35">
      <c r="A597" t="s">
        <v>1263</v>
      </c>
      <c r="B597" t="s">
        <v>1264</v>
      </c>
      <c r="D597" t="s">
        <v>37</v>
      </c>
      <c r="F597">
        <v>1</v>
      </c>
      <c r="G597">
        <v>1</v>
      </c>
      <c r="H597" t="s">
        <v>38</v>
      </c>
      <c r="I597" t="str">
        <f t="shared" ref="I597:I602" si="13">IF(ISNUMBER(SEARCH("Renceng",J597)),(K597/10)," ")</f>
        <v> </v>
      </c>
      <c r="J597" t="str">
        <f t="shared" ref="J597:J602" si="14">IF(ISNUMBER(SEARCH("Rtg",B597)),"Renceng"," ")</f>
        <v> </v>
      </c>
      <c r="K597">
        <v>25</v>
      </c>
      <c r="L597" t="s">
        <v>53</v>
      </c>
      <c r="M597">
        <v>25</v>
      </c>
      <c r="N597" t="s">
        <v>211</v>
      </c>
      <c r="O597" s="2">
        <v>2500</v>
      </c>
      <c r="P597" t="s">
        <v>41</v>
      </c>
      <c r="Q597" t="s">
        <v>42</v>
      </c>
      <c r="R597" t="s">
        <v>43</v>
      </c>
      <c r="S597" t="s">
        <v>44</v>
      </c>
      <c r="T597" t="s">
        <v>44</v>
      </c>
      <c r="U597" t="s">
        <v>44</v>
      </c>
      <c r="V597" t="s">
        <v>45</v>
      </c>
      <c r="W597" t="s">
        <v>151</v>
      </c>
      <c r="X597" t="s">
        <v>461</v>
      </c>
      <c r="Z597">
        <v>200</v>
      </c>
      <c r="AA597" t="s">
        <v>44</v>
      </c>
      <c r="AB597">
        <v>0</v>
      </c>
      <c r="AD597">
        <v>2</v>
      </c>
      <c r="AE597">
        <v>38.6</v>
      </c>
      <c r="AF597">
        <v>25.6</v>
      </c>
      <c r="AG597">
        <v>17.8</v>
      </c>
      <c r="AH597">
        <v>0.02</v>
      </c>
      <c r="AI597">
        <v>5.62</v>
      </c>
    </row>
    <row r="598" spans="1:35">
      <c r="A598" t="s">
        <v>1265</v>
      </c>
      <c r="B598" t="s">
        <v>1266</v>
      </c>
      <c r="D598" t="s">
        <v>37</v>
      </c>
      <c r="F598">
        <v>1</v>
      </c>
      <c r="G598">
        <v>1</v>
      </c>
      <c r="H598" t="s">
        <v>38</v>
      </c>
      <c r="K598">
        <v>12</v>
      </c>
      <c r="L598" t="s">
        <v>53</v>
      </c>
      <c r="M598">
        <v>12</v>
      </c>
      <c r="N598" t="s">
        <v>216</v>
      </c>
      <c r="O598" s="2">
        <v>1200</v>
      </c>
      <c r="P598" t="s">
        <v>41</v>
      </c>
      <c r="Q598" t="s">
        <v>42</v>
      </c>
      <c r="R598" t="s">
        <v>43</v>
      </c>
      <c r="S598" t="s">
        <v>44</v>
      </c>
      <c r="T598" t="s">
        <v>44</v>
      </c>
      <c r="U598" t="s">
        <v>44</v>
      </c>
      <c r="V598" t="s">
        <v>45</v>
      </c>
      <c r="W598" t="s">
        <v>151</v>
      </c>
      <c r="X598" t="s">
        <v>461</v>
      </c>
      <c r="Z598">
        <v>600</v>
      </c>
      <c r="AA598" t="s">
        <v>44</v>
      </c>
      <c r="AB598">
        <v>24</v>
      </c>
      <c r="AD598">
        <v>2</v>
      </c>
      <c r="AE598">
        <v>39.2</v>
      </c>
      <c r="AF598">
        <v>25</v>
      </c>
      <c r="AG598">
        <v>27.7</v>
      </c>
      <c r="AH598">
        <v>0.03</v>
      </c>
      <c r="AI598">
        <v>8.25</v>
      </c>
    </row>
    <row r="599" spans="1:35">
      <c r="A599" t="s">
        <v>1267</v>
      </c>
      <c r="B599" t="s">
        <v>1268</v>
      </c>
      <c r="D599" t="s">
        <v>37</v>
      </c>
      <c r="F599">
        <v>1</v>
      </c>
      <c r="G599">
        <v>1</v>
      </c>
      <c r="H599" t="s">
        <v>38</v>
      </c>
      <c r="K599">
        <v>12</v>
      </c>
      <c r="L599" t="s">
        <v>53</v>
      </c>
      <c r="M599">
        <v>12</v>
      </c>
      <c r="N599" t="s">
        <v>216</v>
      </c>
      <c r="O599" s="2">
        <v>1200</v>
      </c>
      <c r="P599" t="s">
        <v>41</v>
      </c>
      <c r="Q599" t="s">
        <v>42</v>
      </c>
      <c r="R599" t="s">
        <v>43</v>
      </c>
      <c r="S599" t="s">
        <v>44</v>
      </c>
      <c r="T599" t="s">
        <v>44</v>
      </c>
      <c r="U599" t="s">
        <v>44</v>
      </c>
      <c r="V599" t="s">
        <v>45</v>
      </c>
      <c r="W599" t="s">
        <v>151</v>
      </c>
      <c r="X599" t="s">
        <v>461</v>
      </c>
      <c r="Z599">
        <v>600</v>
      </c>
      <c r="AA599" t="s">
        <v>44</v>
      </c>
      <c r="AB599">
        <v>4</v>
      </c>
      <c r="AD599">
        <v>2</v>
      </c>
      <c r="AE599">
        <v>39.2</v>
      </c>
      <c r="AF599">
        <v>25</v>
      </c>
      <c r="AG599">
        <v>27.7</v>
      </c>
      <c r="AH599">
        <v>0.03</v>
      </c>
      <c r="AI599">
        <v>8.25</v>
      </c>
    </row>
    <row r="600" hidden="1" spans="1:35">
      <c r="A600" t="s">
        <v>1269</v>
      </c>
      <c r="B600" t="s">
        <v>1270</v>
      </c>
      <c r="D600" t="s">
        <v>37</v>
      </c>
      <c r="F600">
        <v>1</v>
      </c>
      <c r="G600">
        <v>1</v>
      </c>
      <c r="K600">
        <v>1</v>
      </c>
      <c r="L600" t="s">
        <v>53</v>
      </c>
      <c r="M600">
        <v>25</v>
      </c>
      <c r="N600" t="s">
        <v>211</v>
      </c>
      <c r="O600">
        <v>1</v>
      </c>
      <c r="P600" t="s">
        <v>41</v>
      </c>
      <c r="Q600" t="s">
        <v>42</v>
      </c>
      <c r="R600" t="s">
        <v>43</v>
      </c>
      <c r="S600" t="s">
        <v>44</v>
      </c>
      <c r="T600" t="s">
        <v>44</v>
      </c>
      <c r="U600" t="s">
        <v>44</v>
      </c>
      <c r="V600" t="s">
        <v>45</v>
      </c>
      <c r="W600" t="s">
        <v>151</v>
      </c>
      <c r="X600" t="s">
        <v>461</v>
      </c>
      <c r="Z600">
        <v>120</v>
      </c>
      <c r="AA600" t="s">
        <v>44</v>
      </c>
      <c r="AB600">
        <v>0</v>
      </c>
      <c r="AD600">
        <v>2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>
      <c r="A601" t="s">
        <v>1271</v>
      </c>
      <c r="B601" t="s">
        <v>1272</v>
      </c>
      <c r="D601" t="s">
        <v>37</v>
      </c>
      <c r="F601">
        <v>1</v>
      </c>
      <c r="G601">
        <v>1</v>
      </c>
      <c r="H601" t="s">
        <v>38</v>
      </c>
      <c r="I601" t="str">
        <f t="shared" si="13"/>
        <v> </v>
      </c>
      <c r="J601" t="str">
        <f t="shared" si="14"/>
        <v> </v>
      </c>
      <c r="K601">
        <v>25</v>
      </c>
      <c r="L601" t="s">
        <v>53</v>
      </c>
      <c r="M601">
        <v>25</v>
      </c>
      <c r="N601" t="s">
        <v>211</v>
      </c>
      <c r="O601" s="2">
        <v>2500</v>
      </c>
      <c r="P601" t="s">
        <v>41</v>
      </c>
      <c r="Q601" t="s">
        <v>42</v>
      </c>
      <c r="R601" t="s">
        <v>43</v>
      </c>
      <c r="S601" t="s">
        <v>44</v>
      </c>
      <c r="T601" t="s">
        <v>44</v>
      </c>
      <c r="U601" t="s">
        <v>44</v>
      </c>
      <c r="V601" t="s">
        <v>45</v>
      </c>
      <c r="W601" t="s">
        <v>151</v>
      </c>
      <c r="X601" t="s">
        <v>461</v>
      </c>
      <c r="Z601">
        <v>180</v>
      </c>
      <c r="AA601" t="s">
        <v>44</v>
      </c>
      <c r="AB601">
        <v>0</v>
      </c>
      <c r="AD601">
        <v>2</v>
      </c>
      <c r="AE601">
        <v>38.6</v>
      </c>
      <c r="AF601">
        <v>25.6</v>
      </c>
      <c r="AG601">
        <v>17.8</v>
      </c>
      <c r="AH601">
        <v>0.02</v>
      </c>
      <c r="AI601">
        <v>5.11</v>
      </c>
    </row>
    <row r="602" spans="1:35">
      <c r="A602" t="s">
        <v>1273</v>
      </c>
      <c r="B602" t="s">
        <v>1274</v>
      </c>
      <c r="D602" t="s">
        <v>37</v>
      </c>
      <c r="F602">
        <v>1</v>
      </c>
      <c r="G602">
        <v>1</v>
      </c>
      <c r="H602" t="s">
        <v>38</v>
      </c>
      <c r="I602" t="str">
        <f t="shared" si="13"/>
        <v> </v>
      </c>
      <c r="J602" t="str">
        <f t="shared" si="14"/>
        <v> </v>
      </c>
      <c r="K602">
        <v>25</v>
      </c>
      <c r="L602" t="s">
        <v>53</v>
      </c>
      <c r="M602">
        <v>25</v>
      </c>
      <c r="N602" t="s">
        <v>211</v>
      </c>
      <c r="O602" s="2">
        <v>2500</v>
      </c>
      <c r="P602" t="s">
        <v>41</v>
      </c>
      <c r="Q602" t="s">
        <v>42</v>
      </c>
      <c r="R602" t="s">
        <v>43</v>
      </c>
      <c r="S602" t="s">
        <v>44</v>
      </c>
      <c r="T602" t="s">
        <v>44</v>
      </c>
      <c r="U602" t="s">
        <v>44</v>
      </c>
      <c r="V602" t="s">
        <v>45</v>
      </c>
      <c r="W602" t="s">
        <v>151</v>
      </c>
      <c r="X602" t="s">
        <v>461</v>
      </c>
      <c r="Z602">
        <v>180</v>
      </c>
      <c r="AA602" t="s">
        <v>44</v>
      </c>
      <c r="AB602">
        <v>0</v>
      </c>
      <c r="AD602">
        <v>2</v>
      </c>
      <c r="AE602">
        <v>38.6</v>
      </c>
      <c r="AF602">
        <v>25.6</v>
      </c>
      <c r="AG602">
        <v>17.8</v>
      </c>
      <c r="AH602">
        <v>0.02</v>
      </c>
      <c r="AI602">
        <v>5.11</v>
      </c>
    </row>
    <row r="603" spans="1:35">
      <c r="A603" s="1" t="s">
        <v>1275</v>
      </c>
      <c r="B603" s="1" t="s">
        <v>1276</v>
      </c>
      <c r="D603" s="1" t="s">
        <v>37</v>
      </c>
      <c r="F603" s="1">
        <v>1</v>
      </c>
      <c r="G603" s="1">
        <v>1</v>
      </c>
      <c r="H603" s="1" t="s">
        <v>38</v>
      </c>
      <c r="I603" s="1">
        <v>20</v>
      </c>
      <c r="J603" s="1" t="s">
        <v>1123</v>
      </c>
      <c r="K603" s="1">
        <f>M603/I603</f>
        <v>12</v>
      </c>
      <c r="L603" s="1" t="s">
        <v>120</v>
      </c>
      <c r="M603" s="1">
        <v>240</v>
      </c>
      <c r="N603" s="1" t="s">
        <v>1277</v>
      </c>
      <c r="O603" s="3">
        <v>24000</v>
      </c>
      <c r="P603" s="1" t="s">
        <v>41</v>
      </c>
      <c r="Q603" s="1" t="s">
        <v>42</v>
      </c>
      <c r="R603" s="1" t="s">
        <v>44</v>
      </c>
      <c r="S603" s="1" t="s">
        <v>44</v>
      </c>
      <c r="T603" s="1" t="s">
        <v>44</v>
      </c>
      <c r="U603" s="1" t="s">
        <v>44</v>
      </c>
      <c r="V603" s="1" t="s">
        <v>45</v>
      </c>
      <c r="W603" s="1" t="s">
        <v>46</v>
      </c>
      <c r="X603" s="1" t="s">
        <v>430</v>
      </c>
      <c r="Z603" s="1">
        <v>7</v>
      </c>
      <c r="AA603" s="1" t="s">
        <v>44</v>
      </c>
      <c r="AB603" s="3">
        <v>235077</v>
      </c>
      <c r="AD603" s="1">
        <v>2</v>
      </c>
      <c r="AE603" s="1">
        <v>38.6</v>
      </c>
      <c r="AF603" s="1">
        <v>25.6</v>
      </c>
      <c r="AG603" s="1">
        <v>17.8</v>
      </c>
      <c r="AH603" s="1">
        <v>0.02</v>
      </c>
      <c r="AI603" s="1">
        <v>5.53</v>
      </c>
    </row>
    <row r="604" spans="1:35">
      <c r="A604" s="1" t="s">
        <v>1278</v>
      </c>
      <c r="B604" s="1" t="s">
        <v>1279</v>
      </c>
      <c r="D604" s="1" t="s">
        <v>37</v>
      </c>
      <c r="F604" s="1">
        <v>1</v>
      </c>
      <c r="G604" s="1">
        <v>1</v>
      </c>
      <c r="H604" s="1" t="s">
        <v>38</v>
      </c>
      <c r="I604" s="1" t="str">
        <f>IF(ISNUMBER(SEARCH("Renceng",J604)),(K604/10)," ")</f>
        <v> </v>
      </c>
      <c r="J604" s="1" t="str">
        <f>IF(ISNUMBER(SEARCH("Rtg",B604)),"Renceng"," ")</f>
        <v> </v>
      </c>
      <c r="K604" s="1">
        <v>20</v>
      </c>
      <c r="L604" s="1" t="s">
        <v>120</v>
      </c>
      <c r="M604" s="1">
        <v>20</v>
      </c>
      <c r="N604" s="1" t="s">
        <v>223</v>
      </c>
      <c r="O604" s="3">
        <v>2000</v>
      </c>
      <c r="P604" s="1" t="s">
        <v>41</v>
      </c>
      <c r="Q604" s="1" t="s">
        <v>42</v>
      </c>
      <c r="R604" s="1" t="s">
        <v>44</v>
      </c>
      <c r="S604" s="1" t="s">
        <v>44</v>
      </c>
      <c r="T604" s="1" t="s">
        <v>44</v>
      </c>
      <c r="U604" s="1" t="s">
        <v>44</v>
      </c>
      <c r="V604" s="1" t="s">
        <v>45</v>
      </c>
      <c r="W604" s="1" t="s">
        <v>46</v>
      </c>
      <c r="X604" s="1" t="s">
        <v>396</v>
      </c>
      <c r="Z604" s="1">
        <v>120</v>
      </c>
      <c r="AA604" s="1" t="s">
        <v>44</v>
      </c>
      <c r="AB604" s="1">
        <v>11</v>
      </c>
      <c r="AD604" s="1">
        <v>2</v>
      </c>
      <c r="AE604" s="1">
        <v>40.5</v>
      </c>
      <c r="AF604" s="1">
        <v>23.5</v>
      </c>
      <c r="AG604" s="1">
        <v>19.3</v>
      </c>
      <c r="AH604" s="1">
        <v>0.02</v>
      </c>
      <c r="AI604" s="1">
        <v>2.76</v>
      </c>
    </row>
    <row r="605" spans="1:35">
      <c r="A605" s="1" t="s">
        <v>1280</v>
      </c>
      <c r="B605" s="1" t="s">
        <v>1281</v>
      </c>
      <c r="D605" s="1" t="s">
        <v>37</v>
      </c>
      <c r="F605" s="1">
        <v>1</v>
      </c>
      <c r="G605" s="1">
        <v>1</v>
      </c>
      <c r="H605" s="1" t="s">
        <v>38</v>
      </c>
      <c r="I605" s="1"/>
      <c r="J605" s="1"/>
      <c r="K605" s="1">
        <v>50</v>
      </c>
      <c r="L605" s="1" t="s">
        <v>120</v>
      </c>
      <c r="M605" s="1">
        <v>50</v>
      </c>
      <c r="N605" s="1" t="s">
        <v>433</v>
      </c>
      <c r="O605" s="3">
        <v>5000</v>
      </c>
      <c r="P605" s="1" t="s">
        <v>41</v>
      </c>
      <c r="Q605" s="1" t="s">
        <v>42</v>
      </c>
      <c r="R605" s="1" t="s">
        <v>43</v>
      </c>
      <c r="S605" s="1" t="s">
        <v>44</v>
      </c>
      <c r="T605" s="1" t="s">
        <v>44</v>
      </c>
      <c r="U605" s="1" t="s">
        <v>44</v>
      </c>
      <c r="V605" s="1" t="s">
        <v>45</v>
      </c>
      <c r="W605" s="1" t="s">
        <v>46</v>
      </c>
      <c r="X605" s="1" t="s">
        <v>430</v>
      </c>
      <c r="Z605" s="1">
        <v>100</v>
      </c>
      <c r="AA605" s="1" t="s">
        <v>44</v>
      </c>
      <c r="AB605" s="1">
        <v>0</v>
      </c>
      <c r="AD605" s="1">
        <v>2</v>
      </c>
      <c r="AE605" s="1">
        <v>38.7</v>
      </c>
      <c r="AF605" s="1">
        <v>25.5</v>
      </c>
      <c r="AG605" s="1">
        <v>21.1</v>
      </c>
      <c r="AH605" s="1">
        <v>0.02</v>
      </c>
      <c r="AI605" s="1">
        <v>5.33</v>
      </c>
    </row>
    <row r="606" hidden="1" spans="1:35">
      <c r="A606" t="s">
        <v>1282</v>
      </c>
      <c r="B606" t="s">
        <v>1283</v>
      </c>
      <c r="D606" t="s">
        <v>37</v>
      </c>
      <c r="F606">
        <v>1</v>
      </c>
      <c r="G606">
        <v>1</v>
      </c>
      <c r="K606">
        <v>1</v>
      </c>
      <c r="L606" t="s">
        <v>39</v>
      </c>
      <c r="M606">
        <v>36</v>
      </c>
      <c r="N606" t="s">
        <v>186</v>
      </c>
      <c r="O606">
        <v>1</v>
      </c>
      <c r="P606" t="s">
        <v>41</v>
      </c>
      <c r="Q606" t="s">
        <v>42</v>
      </c>
      <c r="R606" t="s">
        <v>43</v>
      </c>
      <c r="S606" t="s">
        <v>44</v>
      </c>
      <c r="T606" t="s">
        <v>44</v>
      </c>
      <c r="U606" t="s">
        <v>44</v>
      </c>
      <c r="V606" t="s">
        <v>45</v>
      </c>
      <c r="W606" t="s">
        <v>151</v>
      </c>
      <c r="X606" t="s">
        <v>461</v>
      </c>
      <c r="Z606">
        <v>100</v>
      </c>
      <c r="AA606" t="s">
        <v>44</v>
      </c>
      <c r="AB606">
        <v>0</v>
      </c>
      <c r="AD606">
        <v>2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>
      <c r="A607" t="s">
        <v>1284</v>
      </c>
      <c r="B607" t="s">
        <v>1285</v>
      </c>
      <c r="D607" t="s">
        <v>37</v>
      </c>
      <c r="F607">
        <v>1</v>
      </c>
      <c r="G607">
        <v>1</v>
      </c>
      <c r="H607" t="s">
        <v>38</v>
      </c>
      <c r="K607">
        <v>25</v>
      </c>
      <c r="L607" t="s">
        <v>53</v>
      </c>
      <c r="M607">
        <v>25</v>
      </c>
      <c r="N607" t="s">
        <v>211</v>
      </c>
      <c r="O607" s="2">
        <v>2500</v>
      </c>
      <c r="P607" t="s">
        <v>41</v>
      </c>
      <c r="Q607" t="s">
        <v>42</v>
      </c>
      <c r="R607" t="s">
        <v>43</v>
      </c>
      <c r="S607" t="s">
        <v>44</v>
      </c>
      <c r="T607" t="s">
        <v>44</v>
      </c>
      <c r="U607" t="s">
        <v>44</v>
      </c>
      <c r="V607" t="s">
        <v>45</v>
      </c>
      <c r="W607" t="s">
        <v>151</v>
      </c>
      <c r="X607" t="s">
        <v>461</v>
      </c>
      <c r="Z607">
        <v>200</v>
      </c>
      <c r="AA607" t="s">
        <v>44</v>
      </c>
      <c r="AB607" s="2">
        <v>1203</v>
      </c>
      <c r="AD607">
        <v>2</v>
      </c>
      <c r="AE607">
        <v>38.6</v>
      </c>
      <c r="AF607">
        <v>25.6</v>
      </c>
      <c r="AG607">
        <v>17.8</v>
      </c>
      <c r="AH607">
        <v>0.02</v>
      </c>
      <c r="AI607">
        <v>5.61</v>
      </c>
    </row>
    <row r="608" spans="1:35">
      <c r="A608" t="s">
        <v>1286</v>
      </c>
      <c r="B608" t="s">
        <v>1287</v>
      </c>
      <c r="D608" t="s">
        <v>37</v>
      </c>
      <c r="F608">
        <v>1</v>
      </c>
      <c r="G608">
        <v>1</v>
      </c>
      <c r="H608" t="s">
        <v>38</v>
      </c>
      <c r="K608">
        <v>25</v>
      </c>
      <c r="L608" t="s">
        <v>53</v>
      </c>
      <c r="M608">
        <v>25</v>
      </c>
      <c r="N608" t="s">
        <v>211</v>
      </c>
      <c r="O608" s="2">
        <v>2500</v>
      </c>
      <c r="P608" t="s">
        <v>41</v>
      </c>
      <c r="Q608" t="s">
        <v>42</v>
      </c>
      <c r="R608" t="s">
        <v>43</v>
      </c>
      <c r="S608" t="s">
        <v>44</v>
      </c>
      <c r="T608" t="s">
        <v>44</v>
      </c>
      <c r="U608" t="s">
        <v>44</v>
      </c>
      <c r="V608" t="s">
        <v>45</v>
      </c>
      <c r="W608" t="s">
        <v>151</v>
      </c>
      <c r="X608" t="s">
        <v>461</v>
      </c>
      <c r="Z608">
        <v>200</v>
      </c>
      <c r="AA608" t="s">
        <v>44</v>
      </c>
      <c r="AB608">
        <v>12</v>
      </c>
      <c r="AD608">
        <v>2</v>
      </c>
      <c r="AE608">
        <v>38.6</v>
      </c>
      <c r="AF608">
        <v>25.6</v>
      </c>
      <c r="AG608">
        <v>17.8</v>
      </c>
      <c r="AH608">
        <v>0.02</v>
      </c>
      <c r="AI608">
        <v>5.61</v>
      </c>
    </row>
    <row r="609" spans="1:35">
      <c r="A609" t="s">
        <v>1288</v>
      </c>
      <c r="B609" t="s">
        <v>1289</v>
      </c>
      <c r="D609" t="s">
        <v>37</v>
      </c>
      <c r="F609">
        <v>1</v>
      </c>
      <c r="G609">
        <v>1</v>
      </c>
      <c r="H609" t="s">
        <v>38</v>
      </c>
      <c r="I609" t="str">
        <f>IF(ISNUMBER(SEARCH("Renceng",J609)),(K609/10)," ")</f>
        <v> </v>
      </c>
      <c r="J609" t="str">
        <f>IF(ISNUMBER(SEARCH("Rtg",B609)),"Renceng"," ")</f>
        <v> </v>
      </c>
      <c r="K609">
        <v>25</v>
      </c>
      <c r="L609" t="s">
        <v>53</v>
      </c>
      <c r="M609">
        <v>25</v>
      </c>
      <c r="N609" t="s">
        <v>211</v>
      </c>
      <c r="O609" s="2">
        <v>2500</v>
      </c>
      <c r="P609" t="s">
        <v>41</v>
      </c>
      <c r="Q609" t="s">
        <v>42</v>
      </c>
      <c r="R609" t="s">
        <v>43</v>
      </c>
      <c r="S609" t="s">
        <v>44</v>
      </c>
      <c r="T609" t="s">
        <v>44</v>
      </c>
      <c r="U609" t="s">
        <v>44</v>
      </c>
      <c r="V609" t="s">
        <v>45</v>
      </c>
      <c r="W609" t="s">
        <v>151</v>
      </c>
      <c r="X609" t="s">
        <v>461</v>
      </c>
      <c r="Z609">
        <v>200</v>
      </c>
      <c r="AA609" t="s">
        <v>44</v>
      </c>
      <c r="AB609">
        <v>0</v>
      </c>
      <c r="AD609">
        <v>2</v>
      </c>
      <c r="AE609">
        <v>38.6</v>
      </c>
      <c r="AF609">
        <v>25.6</v>
      </c>
      <c r="AG609">
        <v>17.8</v>
      </c>
      <c r="AH609">
        <v>0.02</v>
      </c>
      <c r="AI609">
        <v>5.61</v>
      </c>
    </row>
    <row r="610" spans="1:35">
      <c r="A610" t="s">
        <v>1290</v>
      </c>
      <c r="B610" t="s">
        <v>1291</v>
      </c>
      <c r="D610" t="s">
        <v>37</v>
      </c>
      <c r="F610">
        <v>1</v>
      </c>
      <c r="G610">
        <v>1</v>
      </c>
      <c r="H610" t="s">
        <v>38</v>
      </c>
      <c r="K610">
        <v>12</v>
      </c>
      <c r="L610" t="s">
        <v>53</v>
      </c>
      <c r="M610">
        <v>12</v>
      </c>
      <c r="N610" t="s">
        <v>216</v>
      </c>
      <c r="O610" s="2">
        <v>1200</v>
      </c>
      <c r="P610" t="s">
        <v>41</v>
      </c>
      <c r="Q610" t="s">
        <v>42</v>
      </c>
      <c r="R610" t="s">
        <v>43</v>
      </c>
      <c r="S610" t="s">
        <v>44</v>
      </c>
      <c r="T610" t="s">
        <v>44</v>
      </c>
      <c r="U610" t="s">
        <v>44</v>
      </c>
      <c r="V610" t="s">
        <v>45</v>
      </c>
      <c r="W610" t="s">
        <v>151</v>
      </c>
      <c r="X610" t="s">
        <v>461</v>
      </c>
      <c r="Z610">
        <v>600</v>
      </c>
      <c r="AA610" t="s">
        <v>44</v>
      </c>
      <c r="AB610">
        <v>24</v>
      </c>
      <c r="AD610">
        <v>2</v>
      </c>
      <c r="AE610">
        <v>39.2</v>
      </c>
      <c r="AF610">
        <v>25</v>
      </c>
      <c r="AG610">
        <v>27.7</v>
      </c>
      <c r="AH610">
        <v>0.03</v>
      </c>
      <c r="AI610">
        <v>8.25</v>
      </c>
    </row>
    <row r="611" spans="1:35">
      <c r="A611" t="s">
        <v>1292</v>
      </c>
      <c r="B611" t="s">
        <v>1293</v>
      </c>
      <c r="D611" t="s">
        <v>37</v>
      </c>
      <c r="F611">
        <v>1</v>
      </c>
      <c r="G611">
        <v>1</v>
      </c>
      <c r="H611" t="s">
        <v>38</v>
      </c>
      <c r="K611">
        <v>12</v>
      </c>
      <c r="L611" t="s">
        <v>53</v>
      </c>
      <c r="M611">
        <v>12</v>
      </c>
      <c r="N611" t="s">
        <v>216</v>
      </c>
      <c r="O611" s="2">
        <v>1200</v>
      </c>
      <c r="P611" t="s">
        <v>41</v>
      </c>
      <c r="Q611" t="s">
        <v>42</v>
      </c>
      <c r="R611" t="s">
        <v>43</v>
      </c>
      <c r="S611" t="s">
        <v>44</v>
      </c>
      <c r="T611" t="s">
        <v>44</v>
      </c>
      <c r="U611" t="s">
        <v>44</v>
      </c>
      <c r="V611" t="s">
        <v>45</v>
      </c>
      <c r="W611" t="s">
        <v>151</v>
      </c>
      <c r="X611" t="s">
        <v>461</v>
      </c>
      <c r="Z611">
        <v>600</v>
      </c>
      <c r="AA611" t="s">
        <v>44</v>
      </c>
      <c r="AB611">
        <v>0</v>
      </c>
      <c r="AD611">
        <v>2</v>
      </c>
      <c r="AE611">
        <v>39.2</v>
      </c>
      <c r="AF611">
        <v>25</v>
      </c>
      <c r="AG611">
        <v>27.7</v>
      </c>
      <c r="AH611">
        <v>0.03</v>
      </c>
      <c r="AI611">
        <v>8.25</v>
      </c>
    </row>
    <row r="612" hidden="1" spans="1:35">
      <c r="A612" t="s">
        <v>1294</v>
      </c>
      <c r="B612" t="s">
        <v>1295</v>
      </c>
      <c r="D612" t="s">
        <v>37</v>
      </c>
      <c r="F612">
        <v>1</v>
      </c>
      <c r="G612">
        <v>1</v>
      </c>
      <c r="K612">
        <v>1</v>
      </c>
      <c r="L612" t="s">
        <v>53</v>
      </c>
      <c r="M612">
        <v>25</v>
      </c>
      <c r="N612" t="s">
        <v>211</v>
      </c>
      <c r="O612">
        <v>1</v>
      </c>
      <c r="P612" t="s">
        <v>41</v>
      </c>
      <c r="Q612" t="s">
        <v>42</v>
      </c>
      <c r="R612" t="s">
        <v>43</v>
      </c>
      <c r="S612" t="s">
        <v>44</v>
      </c>
      <c r="T612" t="s">
        <v>44</v>
      </c>
      <c r="U612" t="s">
        <v>44</v>
      </c>
      <c r="V612" t="s">
        <v>45</v>
      </c>
      <c r="W612" t="s">
        <v>151</v>
      </c>
      <c r="X612" t="s">
        <v>461</v>
      </c>
      <c r="Z612">
        <v>120</v>
      </c>
      <c r="AA612" t="s">
        <v>44</v>
      </c>
      <c r="AB612">
        <v>0</v>
      </c>
      <c r="AD612">
        <v>2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>
      <c r="A613" t="s">
        <v>1296</v>
      </c>
      <c r="B613" t="s">
        <v>1297</v>
      </c>
      <c r="D613" t="s">
        <v>37</v>
      </c>
      <c r="F613">
        <v>1</v>
      </c>
      <c r="G613">
        <v>1</v>
      </c>
      <c r="H613" t="s">
        <v>38</v>
      </c>
      <c r="I613" t="str">
        <f>IF(ISNUMBER(SEARCH("Renceng",J613)),(K613/10)," ")</f>
        <v> </v>
      </c>
      <c r="J613" t="str">
        <f>IF(ISNUMBER(SEARCH("Rtg",B613)),"Renceng"," ")</f>
        <v> </v>
      </c>
      <c r="K613">
        <v>25</v>
      </c>
      <c r="L613" t="s">
        <v>53</v>
      </c>
      <c r="M613">
        <v>25</v>
      </c>
      <c r="N613" t="s">
        <v>211</v>
      </c>
      <c r="O613" s="2">
        <v>2500</v>
      </c>
      <c r="P613" t="s">
        <v>41</v>
      </c>
      <c r="Q613" t="s">
        <v>42</v>
      </c>
      <c r="R613" t="s">
        <v>43</v>
      </c>
      <c r="S613" t="s">
        <v>44</v>
      </c>
      <c r="T613" t="s">
        <v>44</v>
      </c>
      <c r="U613" t="s">
        <v>44</v>
      </c>
      <c r="V613" t="s">
        <v>45</v>
      </c>
      <c r="W613" t="s">
        <v>151</v>
      </c>
      <c r="X613" t="s">
        <v>461</v>
      </c>
      <c r="Z613">
        <v>180</v>
      </c>
      <c r="AA613" t="s">
        <v>44</v>
      </c>
      <c r="AB613">
        <v>0</v>
      </c>
      <c r="AD613">
        <v>2</v>
      </c>
      <c r="AE613">
        <v>38.6</v>
      </c>
      <c r="AF613">
        <v>25.6</v>
      </c>
      <c r="AG613">
        <v>17.8</v>
      </c>
      <c r="AH613">
        <v>0.02</v>
      </c>
      <c r="AI613">
        <v>5.09</v>
      </c>
    </row>
    <row r="614" spans="1:35">
      <c r="A614" s="1" t="s">
        <v>1298</v>
      </c>
      <c r="B614" s="1" t="s">
        <v>1299</v>
      </c>
      <c r="D614" s="1" t="s">
        <v>37</v>
      </c>
      <c r="F614" s="1">
        <v>1</v>
      </c>
      <c r="G614" s="1">
        <v>1</v>
      </c>
      <c r="H614" s="1" t="s">
        <v>38</v>
      </c>
      <c r="I614" s="1">
        <f>IF(J614="Renceng",(M614/10),(M614/15))</f>
        <v>5</v>
      </c>
      <c r="J614" s="1" t="s">
        <v>149</v>
      </c>
      <c r="K614" s="1">
        <v>50</v>
      </c>
      <c r="L614" s="1" t="s">
        <v>120</v>
      </c>
      <c r="M614" s="1">
        <v>50</v>
      </c>
      <c r="N614" s="1" t="s">
        <v>205</v>
      </c>
      <c r="O614" s="3">
        <v>5000</v>
      </c>
      <c r="P614" s="1" t="s">
        <v>41</v>
      </c>
      <c r="Q614" s="1" t="s">
        <v>42</v>
      </c>
      <c r="R614" s="1" t="s">
        <v>43</v>
      </c>
      <c r="S614" s="1" t="s">
        <v>44</v>
      </c>
      <c r="T614" s="1" t="s">
        <v>44</v>
      </c>
      <c r="U614" s="1" t="s">
        <v>44</v>
      </c>
      <c r="V614" s="1" t="s">
        <v>45</v>
      </c>
      <c r="W614" s="1" t="s">
        <v>46</v>
      </c>
      <c r="X614" s="1" t="s">
        <v>430</v>
      </c>
      <c r="Z614" s="1">
        <v>60</v>
      </c>
      <c r="AA614" s="1" t="s">
        <v>44</v>
      </c>
      <c r="AB614" s="1">
        <v>0</v>
      </c>
      <c r="AD614" s="1">
        <v>2</v>
      </c>
      <c r="AE614" s="1">
        <v>32.9</v>
      </c>
      <c r="AF614" s="1">
        <v>25</v>
      </c>
      <c r="AG614" s="1">
        <v>22.2</v>
      </c>
      <c r="AH614" s="1">
        <v>0.02</v>
      </c>
      <c r="AI614" s="1">
        <v>4.26</v>
      </c>
    </row>
    <row r="615" spans="1:35">
      <c r="A615" s="1" t="s">
        <v>1300</v>
      </c>
      <c r="B615" s="1" t="s">
        <v>1301</v>
      </c>
      <c r="D615" s="1" t="s">
        <v>37</v>
      </c>
      <c r="F615" s="1">
        <v>1</v>
      </c>
      <c r="G615" s="1">
        <v>1</v>
      </c>
      <c r="H615" s="1" t="s">
        <v>38</v>
      </c>
      <c r="I615" s="1" t="str">
        <f>IF(ISNUMBER(SEARCH("Renceng",J615)),(K615/10)," ")</f>
        <v> </v>
      </c>
      <c r="J615" s="1" t="str">
        <f>IF(ISNUMBER(SEARCH("Rtg",B615)),"Renceng"," ")</f>
        <v> </v>
      </c>
      <c r="K615" s="1">
        <v>25</v>
      </c>
      <c r="L615" s="1" t="s">
        <v>120</v>
      </c>
      <c r="M615" s="1">
        <v>25</v>
      </c>
      <c r="N615" s="1" t="s">
        <v>448</v>
      </c>
      <c r="O615" s="3">
        <v>2500</v>
      </c>
      <c r="P615" s="1" t="s">
        <v>41</v>
      </c>
      <c r="Q615" s="1" t="s">
        <v>42</v>
      </c>
      <c r="R615" s="1" t="s">
        <v>43</v>
      </c>
      <c r="S615" s="1" t="s">
        <v>44</v>
      </c>
      <c r="T615" s="1" t="s">
        <v>44</v>
      </c>
      <c r="U615" s="1" t="s">
        <v>44</v>
      </c>
      <c r="V615" s="1" t="s">
        <v>45</v>
      </c>
      <c r="W615" s="1" t="s">
        <v>46</v>
      </c>
      <c r="X615" s="1" t="s">
        <v>430</v>
      </c>
      <c r="Z615" s="1">
        <v>120</v>
      </c>
      <c r="AA615" s="1" t="s">
        <v>44</v>
      </c>
      <c r="AB615" s="3">
        <v>15264</v>
      </c>
      <c r="AD615" s="1">
        <v>2</v>
      </c>
      <c r="AE615" s="1">
        <v>36.7</v>
      </c>
      <c r="AF615" s="1">
        <v>24.7</v>
      </c>
      <c r="AG615" s="1">
        <v>18.4</v>
      </c>
      <c r="AH615" s="1">
        <v>0.02</v>
      </c>
      <c r="AI615" s="1">
        <v>3.33</v>
      </c>
    </row>
    <row r="616" spans="1:35">
      <c r="A616" s="1" t="s">
        <v>1302</v>
      </c>
      <c r="B616" s="1" t="s">
        <v>1303</v>
      </c>
      <c r="D616" s="1" t="s">
        <v>37</v>
      </c>
      <c r="F616" s="1">
        <v>1</v>
      </c>
      <c r="G616" s="1">
        <v>1</v>
      </c>
      <c r="H616" s="1" t="s">
        <v>38</v>
      </c>
      <c r="I616" s="1" t="str">
        <f>IF(ISNUMBER(SEARCH("Renceng",J616)),(K616/10)," ")</f>
        <v> </v>
      </c>
      <c r="J616" s="1" t="str">
        <f>IF(ISNUMBER(SEARCH("Rtg",B616)),"Renceng"," ")</f>
        <v> </v>
      </c>
      <c r="K616" s="1">
        <v>25</v>
      </c>
      <c r="L616" s="1" t="s">
        <v>120</v>
      </c>
      <c r="M616" s="1">
        <v>25</v>
      </c>
      <c r="N616" s="1" t="s">
        <v>448</v>
      </c>
      <c r="O616" s="1">
        <v>1</v>
      </c>
      <c r="P616" s="1" t="s">
        <v>41</v>
      </c>
      <c r="Q616" s="1" t="s">
        <v>42</v>
      </c>
      <c r="R616" s="1" t="s">
        <v>43</v>
      </c>
      <c r="S616" s="1" t="s">
        <v>44</v>
      </c>
      <c r="T616" s="1" t="s">
        <v>44</v>
      </c>
      <c r="U616" s="1" t="s">
        <v>44</v>
      </c>
      <c r="V616" s="1" t="s">
        <v>45</v>
      </c>
      <c r="W616" s="1" t="s">
        <v>46</v>
      </c>
      <c r="X616" s="1" t="s">
        <v>430</v>
      </c>
      <c r="Z616" s="1">
        <v>135</v>
      </c>
      <c r="AA616" s="1" t="s">
        <v>44</v>
      </c>
      <c r="AB616" s="1">
        <v>0</v>
      </c>
      <c r="AD616" s="1">
        <v>2</v>
      </c>
      <c r="AE616" s="1">
        <v>32.8</v>
      </c>
      <c r="AF616" s="1">
        <v>24.4</v>
      </c>
      <c r="AG616" s="1">
        <v>20.5</v>
      </c>
      <c r="AH616" s="1">
        <v>0.02</v>
      </c>
      <c r="AI616" s="1">
        <v>3.69</v>
      </c>
    </row>
    <row r="617" hidden="1" spans="1:35">
      <c r="A617" t="s">
        <v>1304</v>
      </c>
      <c r="B617" t="s">
        <v>1305</v>
      </c>
      <c r="D617" t="s">
        <v>37</v>
      </c>
      <c r="F617">
        <v>1</v>
      </c>
      <c r="G617">
        <v>1</v>
      </c>
      <c r="K617">
        <v>1</v>
      </c>
      <c r="L617" t="s">
        <v>39</v>
      </c>
      <c r="M617">
        <v>36</v>
      </c>
      <c r="N617" t="s">
        <v>186</v>
      </c>
      <c r="O617">
        <v>1</v>
      </c>
      <c r="P617" t="s">
        <v>41</v>
      </c>
      <c r="Q617" t="s">
        <v>42</v>
      </c>
      <c r="R617" t="s">
        <v>43</v>
      </c>
      <c r="S617" t="s">
        <v>44</v>
      </c>
      <c r="T617" t="s">
        <v>44</v>
      </c>
      <c r="U617" t="s">
        <v>44</v>
      </c>
      <c r="V617" t="s">
        <v>45</v>
      </c>
      <c r="W617" t="s">
        <v>151</v>
      </c>
      <c r="X617" t="s">
        <v>461</v>
      </c>
      <c r="Z617">
        <v>100</v>
      </c>
      <c r="AA617" t="s">
        <v>44</v>
      </c>
      <c r="AB617">
        <v>0</v>
      </c>
      <c r="AD617">
        <v>2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>
      <c r="A618" t="s">
        <v>1306</v>
      </c>
      <c r="B618" t="s">
        <v>1307</v>
      </c>
      <c r="D618" t="s">
        <v>37</v>
      </c>
      <c r="F618">
        <v>1</v>
      </c>
      <c r="G618">
        <v>1</v>
      </c>
      <c r="H618" t="s">
        <v>38</v>
      </c>
      <c r="K618">
        <v>25</v>
      </c>
      <c r="L618" t="s">
        <v>53</v>
      </c>
      <c r="M618">
        <v>25</v>
      </c>
      <c r="N618" t="s">
        <v>211</v>
      </c>
      <c r="O618" s="2">
        <v>2500</v>
      </c>
      <c r="P618" t="s">
        <v>41</v>
      </c>
      <c r="Q618" t="s">
        <v>42</v>
      </c>
      <c r="R618" t="s">
        <v>43</v>
      </c>
      <c r="S618" t="s">
        <v>44</v>
      </c>
      <c r="T618" t="s">
        <v>44</v>
      </c>
      <c r="U618" t="s">
        <v>44</v>
      </c>
      <c r="V618" t="s">
        <v>45</v>
      </c>
      <c r="W618" t="s">
        <v>151</v>
      </c>
      <c r="X618" t="s">
        <v>461</v>
      </c>
      <c r="Z618">
        <v>200</v>
      </c>
      <c r="AA618" t="s">
        <v>44</v>
      </c>
      <c r="AB618" s="2">
        <v>1225</v>
      </c>
      <c r="AD618">
        <v>2</v>
      </c>
      <c r="AE618">
        <v>38.6</v>
      </c>
      <c r="AF618">
        <v>25.6</v>
      </c>
      <c r="AG618">
        <v>17.8</v>
      </c>
      <c r="AH618">
        <v>0.02</v>
      </c>
      <c r="AI618">
        <v>5.6</v>
      </c>
    </row>
    <row r="619" spans="1:35">
      <c r="A619" t="s">
        <v>1308</v>
      </c>
      <c r="B619" t="s">
        <v>1309</v>
      </c>
      <c r="D619" t="s">
        <v>37</v>
      </c>
      <c r="F619">
        <v>1</v>
      </c>
      <c r="G619">
        <v>1</v>
      </c>
      <c r="H619" t="s">
        <v>38</v>
      </c>
      <c r="K619">
        <v>25</v>
      </c>
      <c r="L619" t="s">
        <v>53</v>
      </c>
      <c r="M619">
        <v>25</v>
      </c>
      <c r="N619" t="s">
        <v>211</v>
      </c>
      <c r="O619" s="2">
        <v>2500</v>
      </c>
      <c r="P619" t="s">
        <v>41</v>
      </c>
      <c r="Q619" t="s">
        <v>42</v>
      </c>
      <c r="R619" t="s">
        <v>43</v>
      </c>
      <c r="S619" t="s">
        <v>44</v>
      </c>
      <c r="T619" t="s">
        <v>44</v>
      </c>
      <c r="U619" t="s">
        <v>44</v>
      </c>
      <c r="V619" t="s">
        <v>45</v>
      </c>
      <c r="W619" t="s">
        <v>151</v>
      </c>
      <c r="X619" t="s">
        <v>461</v>
      </c>
      <c r="Z619">
        <v>200</v>
      </c>
      <c r="AA619" t="s">
        <v>44</v>
      </c>
      <c r="AB619">
        <v>3</v>
      </c>
      <c r="AD619">
        <v>2</v>
      </c>
      <c r="AE619">
        <v>38.6</v>
      </c>
      <c r="AF619">
        <v>35.6</v>
      </c>
      <c r="AG619">
        <v>17.8</v>
      </c>
      <c r="AH619">
        <v>0.02</v>
      </c>
      <c r="AI619">
        <v>5.6</v>
      </c>
    </row>
    <row r="620" spans="1:35">
      <c r="A620" t="s">
        <v>1310</v>
      </c>
      <c r="B620" t="s">
        <v>1311</v>
      </c>
      <c r="D620" t="s">
        <v>37</v>
      </c>
      <c r="F620">
        <v>1</v>
      </c>
      <c r="G620">
        <v>1</v>
      </c>
      <c r="H620" t="s">
        <v>38</v>
      </c>
      <c r="I620" t="str">
        <f>IF(ISNUMBER(SEARCH("Renceng",J620)),(K620/10)," ")</f>
        <v> </v>
      </c>
      <c r="J620" t="str">
        <f>IF(ISNUMBER(SEARCH("Rtg",B620)),"Renceng"," ")</f>
        <v> </v>
      </c>
      <c r="K620">
        <v>25</v>
      </c>
      <c r="L620" t="s">
        <v>53</v>
      </c>
      <c r="M620">
        <v>25</v>
      </c>
      <c r="N620" t="s">
        <v>211</v>
      </c>
      <c r="O620" s="2">
        <v>2500</v>
      </c>
      <c r="P620" t="s">
        <v>41</v>
      </c>
      <c r="Q620" t="s">
        <v>42</v>
      </c>
      <c r="R620" t="s">
        <v>43</v>
      </c>
      <c r="S620" t="s">
        <v>44</v>
      </c>
      <c r="T620" t="s">
        <v>44</v>
      </c>
      <c r="U620" t="s">
        <v>44</v>
      </c>
      <c r="V620" t="s">
        <v>45</v>
      </c>
      <c r="W620" t="s">
        <v>151</v>
      </c>
      <c r="X620" t="s">
        <v>461</v>
      </c>
      <c r="Z620">
        <v>200</v>
      </c>
      <c r="AA620" t="s">
        <v>44</v>
      </c>
      <c r="AB620">
        <v>0</v>
      </c>
      <c r="AD620">
        <v>2</v>
      </c>
      <c r="AE620">
        <v>38.6</v>
      </c>
      <c r="AF620">
        <v>25.6</v>
      </c>
      <c r="AG620">
        <v>17.8</v>
      </c>
      <c r="AH620">
        <v>0.02</v>
      </c>
      <c r="AI620">
        <v>5.61</v>
      </c>
    </row>
    <row r="621" spans="1:35">
      <c r="A621" t="s">
        <v>1312</v>
      </c>
      <c r="B621" t="s">
        <v>1313</v>
      </c>
      <c r="D621" t="s">
        <v>37</v>
      </c>
      <c r="F621">
        <v>1</v>
      </c>
      <c r="G621">
        <v>1</v>
      </c>
      <c r="H621" t="s">
        <v>38</v>
      </c>
      <c r="K621">
        <v>12</v>
      </c>
      <c r="L621" t="s">
        <v>53</v>
      </c>
      <c r="M621">
        <v>12</v>
      </c>
      <c r="N621" t="s">
        <v>216</v>
      </c>
      <c r="O621" s="2">
        <v>1200</v>
      </c>
      <c r="P621" t="s">
        <v>41</v>
      </c>
      <c r="Q621" t="s">
        <v>42</v>
      </c>
      <c r="R621" t="s">
        <v>43</v>
      </c>
      <c r="S621" t="s">
        <v>44</v>
      </c>
      <c r="T621" t="s">
        <v>44</v>
      </c>
      <c r="U621" t="s">
        <v>44</v>
      </c>
      <c r="V621" t="s">
        <v>45</v>
      </c>
      <c r="W621" t="s">
        <v>151</v>
      </c>
      <c r="X621" t="s">
        <v>461</v>
      </c>
      <c r="Z621">
        <v>600</v>
      </c>
      <c r="AA621" t="s">
        <v>44</v>
      </c>
      <c r="AB621">
        <v>24</v>
      </c>
      <c r="AD621">
        <v>2</v>
      </c>
      <c r="AE621">
        <v>39.2</v>
      </c>
      <c r="AF621">
        <v>25</v>
      </c>
      <c r="AG621">
        <v>27.7</v>
      </c>
      <c r="AH621">
        <v>0.03</v>
      </c>
      <c r="AI621">
        <v>8.25</v>
      </c>
    </row>
    <row r="622" spans="1:35">
      <c r="A622" t="s">
        <v>1314</v>
      </c>
      <c r="B622" t="s">
        <v>1315</v>
      </c>
      <c r="D622" t="s">
        <v>37</v>
      </c>
      <c r="F622">
        <v>1</v>
      </c>
      <c r="G622">
        <v>1</v>
      </c>
      <c r="H622" t="s">
        <v>38</v>
      </c>
      <c r="K622">
        <v>12</v>
      </c>
      <c r="L622" t="s">
        <v>53</v>
      </c>
      <c r="M622">
        <v>12</v>
      </c>
      <c r="N622" t="s">
        <v>216</v>
      </c>
      <c r="O622" s="2">
        <v>1200</v>
      </c>
      <c r="P622" t="s">
        <v>41</v>
      </c>
      <c r="Q622" t="s">
        <v>42</v>
      </c>
      <c r="R622" t="s">
        <v>43</v>
      </c>
      <c r="S622" t="s">
        <v>44</v>
      </c>
      <c r="T622" t="s">
        <v>44</v>
      </c>
      <c r="U622" t="s">
        <v>44</v>
      </c>
      <c r="V622" t="s">
        <v>45</v>
      </c>
      <c r="W622" t="s">
        <v>151</v>
      </c>
      <c r="X622" t="s">
        <v>461</v>
      </c>
      <c r="Z622">
        <v>600</v>
      </c>
      <c r="AA622" t="s">
        <v>44</v>
      </c>
      <c r="AB622">
        <v>4</v>
      </c>
      <c r="AD622">
        <v>2</v>
      </c>
      <c r="AE622">
        <v>39.2</v>
      </c>
      <c r="AF622">
        <v>25</v>
      </c>
      <c r="AG622">
        <v>27.7</v>
      </c>
      <c r="AH622">
        <v>0.03</v>
      </c>
      <c r="AI622">
        <v>8.25</v>
      </c>
    </row>
    <row r="623" hidden="1" spans="1:35">
      <c r="A623" t="s">
        <v>1316</v>
      </c>
      <c r="B623" t="s">
        <v>1317</v>
      </c>
      <c r="D623" t="s">
        <v>37</v>
      </c>
      <c r="F623">
        <v>1</v>
      </c>
      <c r="G623">
        <v>1</v>
      </c>
      <c r="K623">
        <v>1</v>
      </c>
      <c r="L623" t="s">
        <v>53</v>
      </c>
      <c r="M623">
        <v>25</v>
      </c>
      <c r="N623" t="s">
        <v>211</v>
      </c>
      <c r="O623">
        <v>1</v>
      </c>
      <c r="P623" t="s">
        <v>41</v>
      </c>
      <c r="Q623" t="s">
        <v>42</v>
      </c>
      <c r="R623" t="s">
        <v>43</v>
      </c>
      <c r="S623" t="s">
        <v>44</v>
      </c>
      <c r="T623" t="s">
        <v>44</v>
      </c>
      <c r="U623" t="s">
        <v>44</v>
      </c>
      <c r="V623" t="s">
        <v>45</v>
      </c>
      <c r="W623" t="s">
        <v>151</v>
      </c>
      <c r="X623" t="s">
        <v>461</v>
      </c>
      <c r="Z623">
        <v>120</v>
      </c>
      <c r="AA623" t="s">
        <v>44</v>
      </c>
      <c r="AB623">
        <v>0</v>
      </c>
      <c r="AD623">
        <v>2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>
      <c r="A624" t="s">
        <v>1318</v>
      </c>
      <c r="B624" t="s">
        <v>1319</v>
      </c>
      <c r="D624" t="s">
        <v>37</v>
      </c>
      <c r="F624">
        <v>1</v>
      </c>
      <c r="G624">
        <v>1</v>
      </c>
      <c r="H624" t="s">
        <v>38</v>
      </c>
      <c r="I624" t="str">
        <f>IF(ISNUMBER(SEARCH("Renceng",J624)),(K624/10)," ")</f>
        <v> </v>
      </c>
      <c r="J624" t="str">
        <f>IF(ISNUMBER(SEARCH("Rtg",B624)),"Renceng"," ")</f>
        <v> </v>
      </c>
      <c r="K624">
        <v>25</v>
      </c>
      <c r="L624" t="s">
        <v>53</v>
      </c>
      <c r="M624">
        <v>25</v>
      </c>
      <c r="N624" t="s">
        <v>211</v>
      </c>
      <c r="O624" s="2">
        <v>2500</v>
      </c>
      <c r="P624" t="s">
        <v>41</v>
      </c>
      <c r="Q624" t="s">
        <v>42</v>
      </c>
      <c r="R624" t="s">
        <v>43</v>
      </c>
      <c r="S624" t="s">
        <v>44</v>
      </c>
      <c r="T624" t="s">
        <v>44</v>
      </c>
      <c r="U624" t="s">
        <v>44</v>
      </c>
      <c r="V624" t="s">
        <v>45</v>
      </c>
      <c r="W624" t="s">
        <v>151</v>
      </c>
      <c r="X624" t="s">
        <v>461</v>
      </c>
      <c r="Z624">
        <v>180</v>
      </c>
      <c r="AA624" t="s">
        <v>44</v>
      </c>
      <c r="AB624">
        <v>0</v>
      </c>
      <c r="AD624">
        <v>2</v>
      </c>
      <c r="AE624">
        <v>38.6</v>
      </c>
      <c r="AF624">
        <v>25.6</v>
      </c>
      <c r="AG624">
        <v>17.8</v>
      </c>
      <c r="AH624">
        <v>0.02</v>
      </c>
      <c r="AI624">
        <v>5.09</v>
      </c>
    </row>
    <row r="625" spans="1:35">
      <c r="A625" s="1" t="s">
        <v>1320</v>
      </c>
      <c r="B625" s="1" t="s">
        <v>1321</v>
      </c>
      <c r="D625" s="1" t="s">
        <v>37</v>
      </c>
      <c r="F625" s="1">
        <v>1</v>
      </c>
      <c r="G625" s="1">
        <v>1</v>
      </c>
      <c r="H625" s="1" t="s">
        <v>38</v>
      </c>
      <c r="I625" s="1" t="str">
        <f>IF(ISNUMBER(SEARCH("Renceng",J625)),(K625/10)," ")</f>
        <v> </v>
      </c>
      <c r="J625" s="1" t="str">
        <f>IF(ISNUMBER(SEARCH("Rtg",B625)),"Renceng"," ")</f>
        <v> </v>
      </c>
      <c r="K625" s="1">
        <v>20</v>
      </c>
      <c r="L625" s="1" t="s">
        <v>120</v>
      </c>
      <c r="M625" s="1">
        <v>20</v>
      </c>
      <c r="N625" s="1" t="s">
        <v>223</v>
      </c>
      <c r="O625" s="3">
        <v>2000</v>
      </c>
      <c r="P625" s="1" t="s">
        <v>41</v>
      </c>
      <c r="Q625" s="1" t="s">
        <v>42</v>
      </c>
      <c r="R625" s="1" t="s">
        <v>44</v>
      </c>
      <c r="S625" s="1" t="s">
        <v>44</v>
      </c>
      <c r="T625" s="1" t="s">
        <v>44</v>
      </c>
      <c r="U625" s="1" t="s">
        <v>44</v>
      </c>
      <c r="V625" s="1" t="s">
        <v>45</v>
      </c>
      <c r="W625" s="1" t="s">
        <v>46</v>
      </c>
      <c r="X625" s="1" t="s">
        <v>396</v>
      </c>
      <c r="Z625" s="1">
        <v>120</v>
      </c>
      <c r="AA625" s="1" t="s">
        <v>44</v>
      </c>
      <c r="AB625" s="3">
        <v>72492</v>
      </c>
      <c r="AD625" s="1">
        <v>2</v>
      </c>
      <c r="AE625" s="1">
        <v>36.6</v>
      </c>
      <c r="AF625" s="1">
        <v>24.6</v>
      </c>
      <c r="AG625" s="1">
        <v>18.4</v>
      </c>
      <c r="AH625" s="1">
        <v>0.02</v>
      </c>
      <c r="AI625" s="1">
        <v>2.77</v>
      </c>
    </row>
    <row r="626" spans="1:35">
      <c r="A626" s="1" t="s">
        <v>1322</v>
      </c>
      <c r="B626" s="1" t="s">
        <v>1323</v>
      </c>
      <c r="D626" s="1" t="s">
        <v>37</v>
      </c>
      <c r="F626" s="1">
        <v>1</v>
      </c>
      <c r="G626" s="1">
        <v>1</v>
      </c>
      <c r="H626" s="1" t="s">
        <v>38</v>
      </c>
      <c r="I626" s="1">
        <f>IF(J626="Renceng",(M626/10),(M626/15))</f>
        <v>5</v>
      </c>
      <c r="J626" s="1" t="s">
        <v>149</v>
      </c>
      <c r="K626" s="1">
        <v>50</v>
      </c>
      <c r="L626" s="1" t="s">
        <v>120</v>
      </c>
      <c r="M626" s="1">
        <v>50</v>
      </c>
      <c r="N626" s="1" t="s">
        <v>205</v>
      </c>
      <c r="O626" s="3">
        <v>5000</v>
      </c>
      <c r="P626" s="1" t="s">
        <v>41</v>
      </c>
      <c r="Q626" s="1" t="s">
        <v>42</v>
      </c>
      <c r="R626" s="1" t="s">
        <v>43</v>
      </c>
      <c r="S626" s="1" t="s">
        <v>44</v>
      </c>
      <c r="T626" s="1" t="s">
        <v>44</v>
      </c>
      <c r="U626" s="1" t="s">
        <v>44</v>
      </c>
      <c r="V626" s="1" t="s">
        <v>45</v>
      </c>
      <c r="W626" s="1" t="s">
        <v>46</v>
      </c>
      <c r="X626" s="1" t="s">
        <v>430</v>
      </c>
      <c r="Z626" s="1">
        <v>60</v>
      </c>
      <c r="AA626" s="1" t="s">
        <v>44</v>
      </c>
      <c r="AB626" s="1">
        <v>0</v>
      </c>
      <c r="AD626" s="1">
        <v>2</v>
      </c>
      <c r="AE626" s="1">
        <v>32</v>
      </c>
      <c r="AF626" s="1">
        <v>21.7</v>
      </c>
      <c r="AG626" s="1">
        <v>23.8</v>
      </c>
      <c r="AH626" s="1">
        <v>0.02</v>
      </c>
      <c r="AI626" s="1">
        <v>3.37</v>
      </c>
    </row>
    <row r="627" spans="1:35">
      <c r="A627" s="1" t="s">
        <v>1324</v>
      </c>
      <c r="B627" s="1" t="s">
        <v>1325</v>
      </c>
      <c r="D627" s="1" t="s">
        <v>37</v>
      </c>
      <c r="F627" s="1">
        <v>1</v>
      </c>
      <c r="G627" s="1">
        <v>1</v>
      </c>
      <c r="H627" s="1" t="s">
        <v>38</v>
      </c>
      <c r="I627" s="1" t="str">
        <f>IF(ISNUMBER(SEARCH("Renceng",J627)),(K627/10)," ")</f>
        <v> </v>
      </c>
      <c r="J627" s="1" t="str">
        <f>IF(ISNUMBER(SEARCH("Rtg",B627)),"Renceng"," ")</f>
        <v> </v>
      </c>
      <c r="K627" s="1">
        <v>24</v>
      </c>
      <c r="L627" s="1" t="s">
        <v>120</v>
      </c>
      <c r="M627" s="1">
        <v>24</v>
      </c>
      <c r="N627" s="1" t="s">
        <v>351</v>
      </c>
      <c r="O627" s="3">
        <v>2400</v>
      </c>
      <c r="P627" s="1" t="s">
        <v>41</v>
      </c>
      <c r="Q627" s="1" t="s">
        <v>42</v>
      </c>
      <c r="R627" s="1" t="s">
        <v>43</v>
      </c>
      <c r="S627" s="1" t="s">
        <v>44</v>
      </c>
      <c r="T627" s="1" t="s">
        <v>44</v>
      </c>
      <c r="U627" s="1" t="s">
        <v>44</v>
      </c>
      <c r="V627" s="1" t="s">
        <v>45</v>
      </c>
      <c r="W627" s="1" t="s">
        <v>46</v>
      </c>
      <c r="X627" s="1" t="s">
        <v>430</v>
      </c>
      <c r="Z627" s="1">
        <v>200</v>
      </c>
      <c r="AA627" s="1" t="s">
        <v>44</v>
      </c>
      <c r="AB627" s="3">
        <v>3877</v>
      </c>
      <c r="AD627" s="1">
        <v>2</v>
      </c>
      <c r="AE627" s="1">
        <v>38.6</v>
      </c>
      <c r="AF627" s="1">
        <v>25.8</v>
      </c>
      <c r="AG627" s="1">
        <v>20.3</v>
      </c>
      <c r="AH627" s="1">
        <v>0.02</v>
      </c>
      <c r="AI627" s="1">
        <v>5.1</v>
      </c>
    </row>
    <row r="628" hidden="1" spans="1:35">
      <c r="A628" t="s">
        <v>1326</v>
      </c>
      <c r="B628" t="s">
        <v>1327</v>
      </c>
      <c r="D628" t="s">
        <v>37</v>
      </c>
      <c r="F628">
        <v>1</v>
      </c>
      <c r="G628">
        <v>1</v>
      </c>
      <c r="K628">
        <v>1</v>
      </c>
      <c r="L628" t="s">
        <v>39</v>
      </c>
      <c r="M628">
        <v>36</v>
      </c>
      <c r="N628" t="s">
        <v>186</v>
      </c>
      <c r="O628">
        <v>1</v>
      </c>
      <c r="P628" t="s">
        <v>41</v>
      </c>
      <c r="Q628" t="s">
        <v>42</v>
      </c>
      <c r="R628" t="s">
        <v>43</v>
      </c>
      <c r="S628" t="s">
        <v>44</v>
      </c>
      <c r="T628" t="s">
        <v>44</v>
      </c>
      <c r="U628" t="s">
        <v>44</v>
      </c>
      <c r="V628" t="s">
        <v>45</v>
      </c>
      <c r="W628" t="s">
        <v>151</v>
      </c>
      <c r="X628" t="s">
        <v>461</v>
      </c>
      <c r="Z628">
        <v>100</v>
      </c>
      <c r="AA628" t="s">
        <v>44</v>
      </c>
      <c r="AB628">
        <v>0</v>
      </c>
      <c r="AD628">
        <v>2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>
      <c r="A629" t="s">
        <v>1328</v>
      </c>
      <c r="B629" t="s">
        <v>1329</v>
      </c>
      <c r="D629" t="s">
        <v>37</v>
      </c>
      <c r="F629">
        <v>1</v>
      </c>
      <c r="G629">
        <v>1</v>
      </c>
      <c r="H629" t="s">
        <v>38</v>
      </c>
      <c r="K629">
        <v>25</v>
      </c>
      <c r="L629" t="s">
        <v>53</v>
      </c>
      <c r="M629">
        <v>25</v>
      </c>
      <c r="N629" t="s">
        <v>211</v>
      </c>
      <c r="O629" s="2">
        <v>2500</v>
      </c>
      <c r="P629" t="s">
        <v>41</v>
      </c>
      <c r="Q629" t="s">
        <v>42</v>
      </c>
      <c r="R629" t="s">
        <v>43</v>
      </c>
      <c r="S629" t="s">
        <v>44</v>
      </c>
      <c r="T629" t="s">
        <v>44</v>
      </c>
      <c r="U629" t="s">
        <v>44</v>
      </c>
      <c r="V629" t="s">
        <v>45</v>
      </c>
      <c r="W629" t="s">
        <v>151</v>
      </c>
      <c r="X629" t="s">
        <v>461</v>
      </c>
      <c r="Z629">
        <v>200</v>
      </c>
      <c r="AA629" t="s">
        <v>44</v>
      </c>
      <c r="AB629">
        <v>649</v>
      </c>
      <c r="AD629">
        <v>2</v>
      </c>
      <c r="AE629">
        <v>38.6</v>
      </c>
      <c r="AF629">
        <v>25.6</v>
      </c>
      <c r="AG629">
        <v>17.8</v>
      </c>
      <c r="AH629">
        <v>0.02</v>
      </c>
      <c r="AI629">
        <v>5.6</v>
      </c>
    </row>
    <row r="630" spans="1:35">
      <c r="A630" t="s">
        <v>1330</v>
      </c>
      <c r="B630" t="s">
        <v>1331</v>
      </c>
      <c r="D630" t="s">
        <v>37</v>
      </c>
      <c r="F630">
        <v>1</v>
      </c>
      <c r="G630">
        <v>1</v>
      </c>
      <c r="H630" t="s">
        <v>38</v>
      </c>
      <c r="K630">
        <v>25</v>
      </c>
      <c r="L630" t="s">
        <v>53</v>
      </c>
      <c r="M630">
        <v>25</v>
      </c>
      <c r="N630" t="s">
        <v>211</v>
      </c>
      <c r="O630" s="2">
        <v>2500</v>
      </c>
      <c r="P630" t="s">
        <v>41</v>
      </c>
      <c r="Q630" t="s">
        <v>42</v>
      </c>
      <c r="R630" t="s">
        <v>43</v>
      </c>
      <c r="S630" t="s">
        <v>44</v>
      </c>
      <c r="T630" t="s">
        <v>44</v>
      </c>
      <c r="U630" t="s">
        <v>44</v>
      </c>
      <c r="V630" t="s">
        <v>45</v>
      </c>
      <c r="W630" t="s">
        <v>151</v>
      </c>
      <c r="X630" t="s">
        <v>461</v>
      </c>
      <c r="Z630">
        <v>200</v>
      </c>
      <c r="AA630" t="s">
        <v>44</v>
      </c>
      <c r="AB630">
        <v>12</v>
      </c>
      <c r="AD630">
        <v>2</v>
      </c>
      <c r="AE630">
        <v>38.6</v>
      </c>
      <c r="AF630">
        <v>25.6</v>
      </c>
      <c r="AG630">
        <v>17.8</v>
      </c>
      <c r="AH630">
        <v>0.02</v>
      </c>
      <c r="AI630">
        <v>5.6</v>
      </c>
    </row>
    <row r="631" spans="1:35">
      <c r="A631" t="s">
        <v>1332</v>
      </c>
      <c r="B631" t="s">
        <v>1333</v>
      </c>
      <c r="D631" t="s">
        <v>37</v>
      </c>
      <c r="F631">
        <v>1</v>
      </c>
      <c r="G631">
        <v>1</v>
      </c>
      <c r="H631" t="s">
        <v>38</v>
      </c>
      <c r="I631" t="str">
        <f t="shared" ref="I631:I636" si="15">IF(ISNUMBER(SEARCH("Renceng",J631)),(K631/10)," ")</f>
        <v> </v>
      </c>
      <c r="J631" t="str">
        <f t="shared" ref="J631:J638" si="16">IF(ISNUMBER(SEARCH("Rtg",B631)),"Renceng"," ")</f>
        <v> </v>
      </c>
      <c r="K631">
        <v>25</v>
      </c>
      <c r="L631" t="s">
        <v>53</v>
      </c>
      <c r="M631">
        <v>25</v>
      </c>
      <c r="N631" t="s">
        <v>211</v>
      </c>
      <c r="O631" s="2">
        <v>2500</v>
      </c>
      <c r="P631" t="s">
        <v>41</v>
      </c>
      <c r="Q631" t="s">
        <v>42</v>
      </c>
      <c r="R631" t="s">
        <v>43</v>
      </c>
      <c r="S631" t="s">
        <v>44</v>
      </c>
      <c r="T631" t="s">
        <v>44</v>
      </c>
      <c r="U631" t="s">
        <v>44</v>
      </c>
      <c r="V631" t="s">
        <v>45</v>
      </c>
      <c r="W631" t="s">
        <v>151</v>
      </c>
      <c r="X631" t="s">
        <v>461</v>
      </c>
      <c r="Z631">
        <v>200</v>
      </c>
      <c r="AA631" t="s">
        <v>44</v>
      </c>
      <c r="AB631">
        <v>0</v>
      </c>
      <c r="AD631">
        <v>2</v>
      </c>
      <c r="AE631">
        <v>38.6</v>
      </c>
      <c r="AF631">
        <v>25.6</v>
      </c>
      <c r="AG631">
        <v>17.8</v>
      </c>
      <c r="AH631">
        <v>0.02</v>
      </c>
      <c r="AI631">
        <v>5.6</v>
      </c>
    </row>
    <row r="632" spans="1:35">
      <c r="A632" t="s">
        <v>1334</v>
      </c>
      <c r="B632" t="s">
        <v>1335</v>
      </c>
      <c r="D632" t="s">
        <v>37</v>
      </c>
      <c r="F632">
        <v>1</v>
      </c>
      <c r="G632">
        <v>1</v>
      </c>
      <c r="H632" t="s">
        <v>38</v>
      </c>
      <c r="K632">
        <v>12</v>
      </c>
      <c r="L632" t="s">
        <v>53</v>
      </c>
      <c r="M632">
        <v>12</v>
      </c>
      <c r="N632" t="s">
        <v>216</v>
      </c>
      <c r="O632" s="2">
        <v>1200</v>
      </c>
      <c r="P632" t="s">
        <v>41</v>
      </c>
      <c r="Q632" t="s">
        <v>42</v>
      </c>
      <c r="R632" t="s">
        <v>43</v>
      </c>
      <c r="S632" t="s">
        <v>44</v>
      </c>
      <c r="T632" t="s">
        <v>44</v>
      </c>
      <c r="U632" t="s">
        <v>44</v>
      </c>
      <c r="V632" t="s">
        <v>45</v>
      </c>
      <c r="W632" t="s">
        <v>151</v>
      </c>
      <c r="X632" t="s">
        <v>461</v>
      </c>
      <c r="Z632">
        <v>600</v>
      </c>
      <c r="AA632" t="s">
        <v>44</v>
      </c>
      <c r="AB632">
        <v>24</v>
      </c>
      <c r="AD632">
        <v>2</v>
      </c>
      <c r="AE632">
        <v>39.2</v>
      </c>
      <c r="AF632">
        <v>25</v>
      </c>
      <c r="AG632">
        <v>27.7</v>
      </c>
      <c r="AH632">
        <v>0.03</v>
      </c>
      <c r="AI632">
        <v>8.25</v>
      </c>
    </row>
    <row r="633" spans="1:35">
      <c r="A633" t="s">
        <v>1336</v>
      </c>
      <c r="B633" t="s">
        <v>1337</v>
      </c>
      <c r="D633" t="s">
        <v>37</v>
      </c>
      <c r="F633">
        <v>1</v>
      </c>
      <c r="G633">
        <v>1</v>
      </c>
      <c r="H633" t="s">
        <v>38</v>
      </c>
      <c r="K633">
        <v>12</v>
      </c>
      <c r="L633" t="s">
        <v>53</v>
      </c>
      <c r="M633">
        <v>12</v>
      </c>
      <c r="N633" t="s">
        <v>216</v>
      </c>
      <c r="O633" s="2">
        <v>1200</v>
      </c>
      <c r="P633" t="s">
        <v>41</v>
      </c>
      <c r="Q633" t="s">
        <v>42</v>
      </c>
      <c r="R633" t="s">
        <v>43</v>
      </c>
      <c r="S633" t="s">
        <v>44</v>
      </c>
      <c r="T633" t="s">
        <v>44</v>
      </c>
      <c r="U633" t="s">
        <v>44</v>
      </c>
      <c r="V633" t="s">
        <v>45</v>
      </c>
      <c r="W633" t="s">
        <v>151</v>
      </c>
      <c r="X633" t="s">
        <v>461</v>
      </c>
      <c r="Z633">
        <v>600</v>
      </c>
      <c r="AA633" t="s">
        <v>44</v>
      </c>
      <c r="AB633">
        <v>26</v>
      </c>
      <c r="AD633">
        <v>2</v>
      </c>
      <c r="AE633">
        <v>39.2</v>
      </c>
      <c r="AF633">
        <v>25</v>
      </c>
      <c r="AG633">
        <v>27.7</v>
      </c>
      <c r="AH633">
        <v>0.03</v>
      </c>
      <c r="AI633">
        <v>8.25</v>
      </c>
    </row>
    <row r="634" hidden="1" spans="1:35">
      <c r="A634" t="s">
        <v>1338</v>
      </c>
      <c r="B634" t="s">
        <v>1339</v>
      </c>
      <c r="D634" t="s">
        <v>37</v>
      </c>
      <c r="F634">
        <v>1</v>
      </c>
      <c r="G634">
        <v>1</v>
      </c>
      <c r="K634">
        <v>1</v>
      </c>
      <c r="L634" t="s">
        <v>53</v>
      </c>
      <c r="M634">
        <v>25</v>
      </c>
      <c r="N634" t="s">
        <v>211</v>
      </c>
      <c r="O634">
        <v>1</v>
      </c>
      <c r="P634" t="s">
        <v>41</v>
      </c>
      <c r="Q634" t="s">
        <v>42</v>
      </c>
      <c r="R634" t="s">
        <v>43</v>
      </c>
      <c r="S634" t="s">
        <v>44</v>
      </c>
      <c r="T634" t="s">
        <v>44</v>
      </c>
      <c r="U634" t="s">
        <v>44</v>
      </c>
      <c r="V634" t="s">
        <v>45</v>
      </c>
      <c r="W634" t="s">
        <v>151</v>
      </c>
      <c r="X634" t="s">
        <v>461</v>
      </c>
      <c r="Z634">
        <v>120</v>
      </c>
      <c r="AA634" t="s">
        <v>44</v>
      </c>
      <c r="AB634">
        <v>0</v>
      </c>
      <c r="AD634">
        <v>2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>
      <c r="A635" t="s">
        <v>1340</v>
      </c>
      <c r="B635" t="s">
        <v>1341</v>
      </c>
      <c r="D635" t="s">
        <v>37</v>
      </c>
      <c r="F635">
        <v>1</v>
      </c>
      <c r="G635">
        <v>1</v>
      </c>
      <c r="H635" t="s">
        <v>38</v>
      </c>
      <c r="I635" t="str">
        <f t="shared" si="15"/>
        <v> </v>
      </c>
      <c r="J635" t="str">
        <f t="shared" si="16"/>
        <v> </v>
      </c>
      <c r="K635">
        <v>25</v>
      </c>
      <c r="L635" t="s">
        <v>53</v>
      </c>
      <c r="M635">
        <v>25</v>
      </c>
      <c r="N635" t="s">
        <v>211</v>
      </c>
      <c r="O635" s="2">
        <v>2500</v>
      </c>
      <c r="P635" t="s">
        <v>41</v>
      </c>
      <c r="Q635" t="s">
        <v>42</v>
      </c>
      <c r="R635" t="s">
        <v>43</v>
      </c>
      <c r="S635" t="s">
        <v>44</v>
      </c>
      <c r="T635" t="s">
        <v>44</v>
      </c>
      <c r="U635" t="s">
        <v>44</v>
      </c>
      <c r="V635" t="s">
        <v>45</v>
      </c>
      <c r="W635" t="s">
        <v>151</v>
      </c>
      <c r="X635" t="s">
        <v>461</v>
      </c>
      <c r="Z635">
        <v>180</v>
      </c>
      <c r="AA635" t="s">
        <v>44</v>
      </c>
      <c r="AB635">
        <v>0</v>
      </c>
      <c r="AD635">
        <v>2</v>
      </c>
      <c r="AE635">
        <v>38.6</v>
      </c>
      <c r="AF635">
        <v>25.6</v>
      </c>
      <c r="AG635">
        <v>17.8</v>
      </c>
      <c r="AH635">
        <v>0.02</v>
      </c>
      <c r="AI635">
        <v>5.09</v>
      </c>
    </row>
    <row r="636" spans="1:35">
      <c r="A636" t="s">
        <v>1342</v>
      </c>
      <c r="B636" t="s">
        <v>1343</v>
      </c>
      <c r="D636" t="s">
        <v>37</v>
      </c>
      <c r="F636">
        <v>1</v>
      </c>
      <c r="G636">
        <v>1</v>
      </c>
      <c r="H636" t="s">
        <v>38</v>
      </c>
      <c r="I636" t="str">
        <f t="shared" si="15"/>
        <v> </v>
      </c>
      <c r="J636" t="str">
        <f t="shared" si="16"/>
        <v> </v>
      </c>
      <c r="K636">
        <v>25</v>
      </c>
      <c r="L636" t="s">
        <v>53</v>
      </c>
      <c r="M636">
        <v>25</v>
      </c>
      <c r="N636" t="s">
        <v>211</v>
      </c>
      <c r="O636" s="2">
        <v>2500</v>
      </c>
      <c r="P636" t="s">
        <v>41</v>
      </c>
      <c r="Q636" t="s">
        <v>42</v>
      </c>
      <c r="R636" t="s">
        <v>43</v>
      </c>
      <c r="S636" t="s">
        <v>44</v>
      </c>
      <c r="T636" t="s">
        <v>44</v>
      </c>
      <c r="U636" t="s">
        <v>44</v>
      </c>
      <c r="V636" t="s">
        <v>45</v>
      </c>
      <c r="W636" t="s">
        <v>151</v>
      </c>
      <c r="X636" t="s">
        <v>461</v>
      </c>
      <c r="Z636">
        <v>180</v>
      </c>
      <c r="AA636" t="s">
        <v>44</v>
      </c>
      <c r="AB636">
        <v>0</v>
      </c>
      <c r="AD636">
        <v>2</v>
      </c>
      <c r="AE636">
        <v>38.6</v>
      </c>
      <c r="AF636">
        <v>25.6</v>
      </c>
      <c r="AG636">
        <v>17.8</v>
      </c>
      <c r="AH636">
        <v>0.02</v>
      </c>
      <c r="AI636">
        <v>5.11</v>
      </c>
    </row>
    <row r="637" spans="1:35">
      <c r="A637" s="1" t="s">
        <v>1344</v>
      </c>
      <c r="B637" s="1" t="s">
        <v>1345</v>
      </c>
      <c r="D637" s="1" t="s">
        <v>37</v>
      </c>
      <c r="F637" s="1">
        <v>1</v>
      </c>
      <c r="G637" s="1">
        <v>1</v>
      </c>
      <c r="H637" s="1" t="s">
        <v>38</v>
      </c>
      <c r="I637" s="1">
        <f>IF(J637="Renceng",(M637/10),(M637/15))</f>
        <v>12</v>
      </c>
      <c r="J637" s="1" t="str">
        <f t="shared" si="16"/>
        <v>Renceng</v>
      </c>
      <c r="K637" s="1">
        <f>M637/I637</f>
        <v>10</v>
      </c>
      <c r="L637" s="1" t="s">
        <v>120</v>
      </c>
      <c r="M637" s="1">
        <v>120</v>
      </c>
      <c r="N637" s="1" t="s">
        <v>229</v>
      </c>
      <c r="O637" s="1">
        <v>1</v>
      </c>
      <c r="P637" s="1" t="s">
        <v>41</v>
      </c>
      <c r="Q637" s="1" t="s">
        <v>42</v>
      </c>
      <c r="R637" s="1" t="s">
        <v>44</v>
      </c>
      <c r="S637" s="1" t="s">
        <v>44</v>
      </c>
      <c r="T637" s="1" t="s">
        <v>44</v>
      </c>
      <c r="U637" s="1" t="s">
        <v>44</v>
      </c>
      <c r="V637" s="1" t="s">
        <v>1131</v>
      </c>
      <c r="W637" s="1" t="s">
        <v>1132</v>
      </c>
      <c r="X637" s="1" t="s">
        <v>1133</v>
      </c>
      <c r="Z637" s="1">
        <v>13</v>
      </c>
      <c r="AA637" s="1" t="s">
        <v>44</v>
      </c>
      <c r="AB637" s="3">
        <v>96890</v>
      </c>
      <c r="AD637" s="1">
        <v>2</v>
      </c>
      <c r="AE637" s="1">
        <v>38.6</v>
      </c>
      <c r="AF637" s="1">
        <v>25.6</v>
      </c>
      <c r="AG637" s="1">
        <v>17.8</v>
      </c>
      <c r="AH637" s="1">
        <v>0.02</v>
      </c>
      <c r="AI637" s="1">
        <v>2.36</v>
      </c>
    </row>
    <row r="638" spans="1:35">
      <c r="A638" s="1" t="s">
        <v>1346</v>
      </c>
      <c r="B638" s="1" t="s">
        <v>1347</v>
      </c>
      <c r="D638" s="1" t="s">
        <v>37</v>
      </c>
      <c r="E638" s="1"/>
      <c r="F638" s="1">
        <v>1</v>
      </c>
      <c r="G638" s="1">
        <v>1</v>
      </c>
      <c r="H638" s="1" t="s">
        <v>38</v>
      </c>
      <c r="I638" s="1" t="str">
        <f>IF(ISNUMBER(SEARCH("Renceng",J638)),(K638/10)," ")</f>
        <v> </v>
      </c>
      <c r="J638" s="1" t="str">
        <f t="shared" si="16"/>
        <v> </v>
      </c>
      <c r="K638" s="1">
        <v>25</v>
      </c>
      <c r="L638" s="1" t="s">
        <v>120</v>
      </c>
      <c r="M638" s="1">
        <v>25</v>
      </c>
      <c r="N638" s="1" t="s">
        <v>448</v>
      </c>
      <c r="O638" s="3">
        <v>2500</v>
      </c>
      <c r="P638" s="1" t="s">
        <v>41</v>
      </c>
      <c r="Q638" s="1" t="s">
        <v>42</v>
      </c>
      <c r="R638" s="1" t="s">
        <v>43</v>
      </c>
      <c r="S638" s="1" t="s">
        <v>44</v>
      </c>
      <c r="T638" s="1" t="s">
        <v>44</v>
      </c>
      <c r="U638" s="1" t="s">
        <v>44</v>
      </c>
      <c r="V638" s="1" t="s">
        <v>45</v>
      </c>
      <c r="W638" s="1" t="s">
        <v>46</v>
      </c>
      <c r="X638" s="1" t="s">
        <v>430</v>
      </c>
      <c r="Z638" s="1">
        <v>120</v>
      </c>
      <c r="AA638" s="1" t="s">
        <v>44</v>
      </c>
      <c r="AB638" s="3">
        <v>454896</v>
      </c>
      <c r="AD638" s="1">
        <v>2</v>
      </c>
      <c r="AE638" s="1">
        <v>32.8</v>
      </c>
      <c r="AF638" s="1">
        <v>24.4</v>
      </c>
      <c r="AG638" s="1">
        <v>20.8</v>
      </c>
      <c r="AH638" s="1">
        <v>0.02</v>
      </c>
      <c r="AI638" s="1">
        <v>3.36</v>
      </c>
    </row>
    <row r="639" spans="1:35">
      <c r="A639" s="1" t="s">
        <v>1348</v>
      </c>
      <c r="B639" s="1" t="s">
        <v>1349</v>
      </c>
      <c r="D639" s="1" t="s">
        <v>37</v>
      </c>
      <c r="E639" s="1"/>
      <c r="F639" s="1">
        <v>1</v>
      </c>
      <c r="G639" s="1">
        <v>1</v>
      </c>
      <c r="H639" s="1" t="s">
        <v>38</v>
      </c>
      <c r="I639" s="1">
        <f>IF(J639="Renceng",(M639/10),(M639/15))</f>
        <v>12</v>
      </c>
      <c r="J639" s="1" t="s">
        <v>149</v>
      </c>
      <c r="K639" s="1">
        <f>M639/I639</f>
        <v>10</v>
      </c>
      <c r="L639" s="1" t="s">
        <v>120</v>
      </c>
      <c r="M639" s="1">
        <v>120</v>
      </c>
      <c r="N639" s="1" t="s">
        <v>229</v>
      </c>
      <c r="O639" s="1">
        <v>1</v>
      </c>
      <c r="P639" s="1" t="s">
        <v>41</v>
      </c>
      <c r="Q639" s="1" t="s">
        <v>42</v>
      </c>
      <c r="R639" s="1" t="s">
        <v>44</v>
      </c>
      <c r="S639" s="1" t="s">
        <v>44</v>
      </c>
      <c r="T639" s="1" t="s">
        <v>44</v>
      </c>
      <c r="U639" s="1" t="s">
        <v>44</v>
      </c>
      <c r="V639" s="1" t="s">
        <v>1131</v>
      </c>
      <c r="W639" s="1" t="s">
        <v>1132</v>
      </c>
      <c r="X639" s="1" t="s">
        <v>1133</v>
      </c>
      <c r="Z639" s="1">
        <v>13</v>
      </c>
      <c r="AA639" s="1" t="s">
        <v>44</v>
      </c>
      <c r="AB639" s="3">
        <v>151070</v>
      </c>
      <c r="AD639" s="1">
        <v>2</v>
      </c>
      <c r="AE639" s="1">
        <v>34.5</v>
      </c>
      <c r="AF639" s="1">
        <v>27</v>
      </c>
      <c r="AG639" s="1">
        <v>12.3</v>
      </c>
      <c r="AH639" s="1">
        <v>0.01</v>
      </c>
      <c r="AI639" s="1">
        <v>3.42</v>
      </c>
    </row>
    <row r="640" spans="1:35">
      <c r="A640" s="1" t="s">
        <v>1350</v>
      </c>
      <c r="B640" s="1" t="s">
        <v>1351</v>
      </c>
      <c r="D640" s="1" t="s">
        <v>37</v>
      </c>
      <c r="F640" s="1">
        <v>1</v>
      </c>
      <c r="G640" s="1">
        <v>1</v>
      </c>
      <c r="H640" s="1" t="s">
        <v>38</v>
      </c>
      <c r="K640" s="1">
        <v>20</v>
      </c>
      <c r="L640" s="1" t="s">
        <v>120</v>
      </c>
      <c r="M640" s="1">
        <v>20</v>
      </c>
      <c r="N640" s="1" t="s">
        <v>223</v>
      </c>
      <c r="O640" s="3">
        <v>2000</v>
      </c>
      <c r="P640" s="1" t="s">
        <v>41</v>
      </c>
      <c r="Q640" s="1" t="s">
        <v>42</v>
      </c>
      <c r="R640" s="1" t="s">
        <v>43</v>
      </c>
      <c r="S640" s="1" t="s">
        <v>44</v>
      </c>
      <c r="T640" s="1" t="s">
        <v>44</v>
      </c>
      <c r="U640" s="1" t="s">
        <v>44</v>
      </c>
      <c r="V640" s="1" t="s">
        <v>45</v>
      </c>
      <c r="W640" s="1" t="s">
        <v>46</v>
      </c>
      <c r="X640" s="1" t="s">
        <v>162</v>
      </c>
      <c r="Z640" s="1">
        <v>0</v>
      </c>
      <c r="AA640" s="1" t="s">
        <v>44</v>
      </c>
      <c r="AB640" s="1">
        <v>0</v>
      </c>
      <c r="AD640" s="1"/>
      <c r="AE640" s="1">
        <v>32</v>
      </c>
      <c r="AF640" s="1">
        <v>24.5</v>
      </c>
      <c r="AG640" s="1">
        <v>18.4</v>
      </c>
      <c r="AH640" s="1">
        <v>0.01</v>
      </c>
      <c r="AI640" s="1">
        <v>2.7</v>
      </c>
    </row>
    <row r="641" spans="1:35">
      <c r="A641" t="s">
        <v>1352</v>
      </c>
      <c r="B641" t="s">
        <v>1069</v>
      </c>
      <c r="D641" t="s">
        <v>37</v>
      </c>
      <c r="F641">
        <v>1</v>
      </c>
      <c r="G641">
        <v>1</v>
      </c>
      <c r="H641" t="s">
        <v>38</v>
      </c>
      <c r="K641">
        <v>20</v>
      </c>
      <c r="L641" t="s">
        <v>53</v>
      </c>
      <c r="M641">
        <v>20</v>
      </c>
      <c r="N641" t="s">
        <v>64</v>
      </c>
      <c r="O641" s="2">
        <v>2000</v>
      </c>
      <c r="P641" t="s">
        <v>41</v>
      </c>
      <c r="Q641" t="s">
        <v>42</v>
      </c>
      <c r="R641" t="s">
        <v>43</v>
      </c>
      <c r="S641" t="s">
        <v>44</v>
      </c>
      <c r="T641" t="s">
        <v>44</v>
      </c>
      <c r="U641" t="s">
        <v>44</v>
      </c>
      <c r="V641" t="s">
        <v>45</v>
      </c>
      <c r="W641" t="s">
        <v>46</v>
      </c>
      <c r="X641" t="s">
        <v>461</v>
      </c>
      <c r="Z641">
        <v>150</v>
      </c>
      <c r="AA641" t="s">
        <v>44</v>
      </c>
      <c r="AB641">
        <v>587</v>
      </c>
      <c r="AD641">
        <v>2</v>
      </c>
      <c r="AE641">
        <v>30.5</v>
      </c>
      <c r="AF641">
        <v>23.5</v>
      </c>
      <c r="AG641">
        <v>18</v>
      </c>
      <c r="AH641">
        <v>0.01</v>
      </c>
      <c r="AI641">
        <v>3.3</v>
      </c>
    </row>
    <row r="642" spans="1:35">
      <c r="A642" s="1" t="s">
        <v>1353</v>
      </c>
      <c r="B642" s="1" t="s">
        <v>1354</v>
      </c>
      <c r="D642" s="1" t="s">
        <v>37</v>
      </c>
      <c r="E642" t="s">
        <v>38</v>
      </c>
      <c r="F642" s="1">
        <v>20</v>
      </c>
      <c r="G642" s="1">
        <v>1</v>
      </c>
      <c r="H642" s="1" t="s">
        <v>38</v>
      </c>
      <c r="I642" s="1" t="str">
        <f>IF(ISNUMBER(SEARCH("Renceng",J642)),(K642/10)," ")</f>
        <v> </v>
      </c>
      <c r="J642" s="1" t="str">
        <f>IF(ISNUMBER(SEARCH("Rtg",B642)),"Renceng"," ")</f>
        <v> </v>
      </c>
      <c r="K642" s="1">
        <v>20</v>
      </c>
      <c r="L642" s="1" t="s">
        <v>120</v>
      </c>
      <c r="M642" s="1">
        <v>20</v>
      </c>
      <c r="N642" s="1" t="s">
        <v>223</v>
      </c>
      <c r="O642" s="3">
        <v>2000</v>
      </c>
      <c r="P642" s="1" t="s">
        <v>41</v>
      </c>
      <c r="Q642" s="1" t="s">
        <v>42</v>
      </c>
      <c r="R642" s="1" t="s">
        <v>43</v>
      </c>
      <c r="S642" s="1" t="s">
        <v>44</v>
      </c>
      <c r="T642" s="1" t="s">
        <v>44</v>
      </c>
      <c r="U642" s="1" t="s">
        <v>44</v>
      </c>
      <c r="V642" s="1" t="s">
        <v>45</v>
      </c>
      <c r="W642" s="1" t="s">
        <v>46</v>
      </c>
      <c r="X642" s="1" t="s">
        <v>162</v>
      </c>
      <c r="Z642" s="1">
        <v>0</v>
      </c>
      <c r="AA642" s="1" t="s">
        <v>44</v>
      </c>
      <c r="AB642" s="3">
        <v>40865</v>
      </c>
      <c r="AD642" s="1"/>
      <c r="AE642" s="1">
        <v>32</v>
      </c>
      <c r="AF642" s="1">
        <v>24.5</v>
      </c>
      <c r="AG642" s="1">
        <v>18.4</v>
      </c>
      <c r="AH642" s="1">
        <v>0.01</v>
      </c>
      <c r="AI642" s="1">
        <v>2.7</v>
      </c>
    </row>
    <row r="643" spans="1:35">
      <c r="A643" t="s">
        <v>1355</v>
      </c>
      <c r="B643" t="s">
        <v>1084</v>
      </c>
      <c r="D643" t="s">
        <v>37</v>
      </c>
      <c r="E643" t="s">
        <v>38</v>
      </c>
      <c r="F643">
        <v>20</v>
      </c>
      <c r="G643">
        <v>1</v>
      </c>
      <c r="H643" t="s">
        <v>38</v>
      </c>
      <c r="I643" t="str">
        <f t="shared" ref="I642:I645" si="17">IF(ISNUMBER(SEARCH("Renceng",J643)),(K643/10)," ")</f>
        <v> </v>
      </c>
      <c r="J643" t="str">
        <f t="shared" ref="J642:J645" si="18">IF(ISNUMBER(SEARCH("Rtg",B643)),"Renceng"," ")</f>
        <v> </v>
      </c>
      <c r="K643">
        <v>20</v>
      </c>
      <c r="L643" t="s">
        <v>53</v>
      </c>
      <c r="M643">
        <v>20</v>
      </c>
      <c r="N643" t="s">
        <v>64</v>
      </c>
      <c r="O643" s="2">
        <v>2000</v>
      </c>
      <c r="P643" t="s">
        <v>41</v>
      </c>
      <c r="Q643" t="s">
        <v>42</v>
      </c>
      <c r="R643" t="s">
        <v>43</v>
      </c>
      <c r="S643" t="s">
        <v>44</v>
      </c>
      <c r="T643" t="s">
        <v>44</v>
      </c>
      <c r="U643" t="s">
        <v>44</v>
      </c>
      <c r="V643" t="s">
        <v>45</v>
      </c>
      <c r="W643" t="s">
        <v>46</v>
      </c>
      <c r="X643" t="s">
        <v>461</v>
      </c>
      <c r="Z643">
        <v>150</v>
      </c>
      <c r="AA643" t="s">
        <v>44</v>
      </c>
      <c r="AB643">
        <v>33</v>
      </c>
      <c r="AD643">
        <v>2</v>
      </c>
      <c r="AE643">
        <v>30.5</v>
      </c>
      <c r="AF643">
        <v>23.5</v>
      </c>
      <c r="AG643">
        <v>18</v>
      </c>
      <c r="AH643">
        <v>0.01</v>
      </c>
      <c r="AI643">
        <v>3.34</v>
      </c>
    </row>
    <row r="644" spans="1:35">
      <c r="A644" t="s">
        <v>1356</v>
      </c>
      <c r="B644" t="s">
        <v>1357</v>
      </c>
      <c r="D644" t="s">
        <v>37</v>
      </c>
      <c r="F644">
        <v>1</v>
      </c>
      <c r="G644">
        <v>1</v>
      </c>
      <c r="H644" t="s">
        <v>38</v>
      </c>
      <c r="K644">
        <v>10</v>
      </c>
      <c r="L644" t="s">
        <v>53</v>
      </c>
      <c r="M644">
        <v>10</v>
      </c>
      <c r="N644" t="s">
        <v>54</v>
      </c>
      <c r="O644" s="2">
        <v>1000</v>
      </c>
      <c r="P644" t="s">
        <v>41</v>
      </c>
      <c r="Q644" t="s">
        <v>42</v>
      </c>
      <c r="R644" t="s">
        <v>43</v>
      </c>
      <c r="S644" t="s">
        <v>44</v>
      </c>
      <c r="T644" t="s">
        <v>44</v>
      </c>
      <c r="U644" t="s">
        <v>44</v>
      </c>
      <c r="V644" t="s">
        <v>45</v>
      </c>
      <c r="W644" t="s">
        <v>46</v>
      </c>
      <c r="X644" t="s">
        <v>461</v>
      </c>
      <c r="Z644">
        <v>140</v>
      </c>
      <c r="AA644" t="s">
        <v>44</v>
      </c>
      <c r="AB644">
        <v>47</v>
      </c>
      <c r="AD644">
        <v>2</v>
      </c>
      <c r="AE644">
        <v>30.5</v>
      </c>
      <c r="AF644">
        <v>23.5</v>
      </c>
      <c r="AG644">
        <v>18</v>
      </c>
      <c r="AH644">
        <v>0.01</v>
      </c>
      <c r="AI644">
        <v>1.8</v>
      </c>
    </row>
    <row r="645" spans="1:35">
      <c r="A645" t="s">
        <v>1358</v>
      </c>
      <c r="B645" t="s">
        <v>1359</v>
      </c>
      <c r="D645" t="s">
        <v>37</v>
      </c>
      <c r="E645" t="s">
        <v>38</v>
      </c>
      <c r="F645">
        <v>10</v>
      </c>
      <c r="G645">
        <v>1</v>
      </c>
      <c r="H645" t="s">
        <v>38</v>
      </c>
      <c r="I645" t="str">
        <f t="shared" si="17"/>
        <v> </v>
      </c>
      <c r="J645" t="str">
        <f t="shared" si="18"/>
        <v> </v>
      </c>
      <c r="K645">
        <v>10</v>
      </c>
      <c r="L645" t="s">
        <v>53</v>
      </c>
      <c r="M645">
        <v>10</v>
      </c>
      <c r="N645" t="s">
        <v>54</v>
      </c>
      <c r="O645" s="2">
        <v>1000</v>
      </c>
      <c r="P645" t="s">
        <v>41</v>
      </c>
      <c r="Q645" t="s">
        <v>42</v>
      </c>
      <c r="R645" t="s">
        <v>43</v>
      </c>
      <c r="S645" t="s">
        <v>44</v>
      </c>
      <c r="T645" t="s">
        <v>44</v>
      </c>
      <c r="U645" t="s">
        <v>44</v>
      </c>
      <c r="V645" t="s">
        <v>45</v>
      </c>
      <c r="W645" t="s">
        <v>46</v>
      </c>
      <c r="X645" t="s">
        <v>461</v>
      </c>
      <c r="Z645">
        <v>140</v>
      </c>
      <c r="AA645" t="s">
        <v>44</v>
      </c>
      <c r="AB645">
        <v>0</v>
      </c>
      <c r="AD645">
        <v>2</v>
      </c>
      <c r="AE645">
        <v>30.5</v>
      </c>
      <c r="AF645">
        <v>23.5</v>
      </c>
      <c r="AG645">
        <v>18</v>
      </c>
      <c r="AH645">
        <v>0.01</v>
      </c>
      <c r="AI645">
        <v>1.8</v>
      </c>
    </row>
    <row r="646" spans="1:35">
      <c r="A646" s="1" t="s">
        <v>1360</v>
      </c>
      <c r="B646" s="1" t="s">
        <v>1361</v>
      </c>
      <c r="D646" s="1" t="s">
        <v>37</v>
      </c>
      <c r="F646" s="1">
        <v>1</v>
      </c>
      <c r="G646" s="1">
        <v>1</v>
      </c>
      <c r="H646" s="1" t="s">
        <v>38</v>
      </c>
      <c r="I646" s="1"/>
      <c r="J646" s="1"/>
      <c r="K646" s="1">
        <v>50</v>
      </c>
      <c r="L646" s="1" t="s">
        <v>120</v>
      </c>
      <c r="M646" s="1">
        <v>50</v>
      </c>
      <c r="N646" s="1" t="s">
        <v>433</v>
      </c>
      <c r="O646" s="3">
        <v>5000</v>
      </c>
      <c r="P646" s="1" t="s">
        <v>41</v>
      </c>
      <c r="Q646" s="1" t="s">
        <v>42</v>
      </c>
      <c r="R646" s="1" t="s">
        <v>43</v>
      </c>
      <c r="S646" s="1" t="s">
        <v>44</v>
      </c>
      <c r="T646" s="1" t="s">
        <v>44</v>
      </c>
      <c r="U646" s="1" t="s">
        <v>44</v>
      </c>
      <c r="V646" s="1" t="s">
        <v>45</v>
      </c>
      <c r="W646" s="1" t="s">
        <v>46</v>
      </c>
      <c r="X646" s="1" t="s">
        <v>430</v>
      </c>
      <c r="Z646" s="1">
        <v>100</v>
      </c>
      <c r="AA646" s="1" t="s">
        <v>44</v>
      </c>
      <c r="AB646" s="1">
        <v>0</v>
      </c>
      <c r="AD646" s="1">
        <v>2</v>
      </c>
      <c r="AE646" s="1">
        <v>38.7</v>
      </c>
      <c r="AF646" s="1">
        <v>25.5</v>
      </c>
      <c r="AG646" s="1">
        <v>21.1</v>
      </c>
      <c r="AH646" s="1">
        <v>0.02</v>
      </c>
      <c r="AI646" s="1">
        <v>5.33</v>
      </c>
    </row>
    <row r="647" spans="1:35">
      <c r="A647" s="1" t="s">
        <v>1362</v>
      </c>
      <c r="B647" s="1" t="s">
        <v>1363</v>
      </c>
      <c r="D647" s="1" t="s">
        <v>37</v>
      </c>
      <c r="F647" s="1">
        <v>1</v>
      </c>
      <c r="G647" s="1">
        <v>1</v>
      </c>
      <c r="H647" s="1" t="s">
        <v>38</v>
      </c>
      <c r="I647" s="1">
        <f>IF(J647="Renceng",(M647/10),(M647/15))</f>
        <v>12</v>
      </c>
      <c r="J647" s="1" t="str">
        <f>IF(OR(ISNUMBER(SEARCH("2Bks",B647)),ISNUMBER(SEARCH("5Bks",B647))),"RencengBNS",IF(ISNUMBER(SEARCH("1Box",B647)),"BoxBNS"," "))</f>
        <v>RencengBNS</v>
      </c>
      <c r="K647" s="1">
        <f>M647/I647</f>
        <v>15</v>
      </c>
      <c r="L647" s="1" t="s">
        <v>120</v>
      </c>
      <c r="M647" s="1">
        <v>180</v>
      </c>
      <c r="N647" s="1" t="s">
        <v>464</v>
      </c>
      <c r="O647" s="3">
        <v>18000</v>
      </c>
      <c r="P647" s="1" t="s">
        <v>41</v>
      </c>
      <c r="Q647" s="1" t="s">
        <v>42</v>
      </c>
      <c r="R647" s="1" t="s">
        <v>43</v>
      </c>
      <c r="S647" s="1" t="s">
        <v>44</v>
      </c>
      <c r="T647" s="1" t="s">
        <v>44</v>
      </c>
      <c r="U647" s="1" t="s">
        <v>44</v>
      </c>
      <c r="V647" s="1" t="s">
        <v>45</v>
      </c>
      <c r="W647" s="1" t="s">
        <v>230</v>
      </c>
      <c r="X647" s="1" t="s">
        <v>396</v>
      </c>
      <c r="Z647" s="1">
        <v>17</v>
      </c>
      <c r="AA647" s="1" t="s">
        <v>44</v>
      </c>
      <c r="AB647" s="3">
        <v>504780</v>
      </c>
      <c r="AD647" s="1">
        <v>2</v>
      </c>
      <c r="AE647" s="1">
        <v>42.5</v>
      </c>
      <c r="AF647" s="1">
        <v>23</v>
      </c>
      <c r="AG647" s="1">
        <v>21.6</v>
      </c>
      <c r="AH647" s="1">
        <v>0.02</v>
      </c>
      <c r="AI647" s="1">
        <v>5.58</v>
      </c>
    </row>
  </sheetData>
  <autoFilter ref="A1:AI647">
    <filterColumn colId="7">
      <customFilters>
        <customFilter operator="equal" val="Karton"/>
      </customFilters>
    </filterColumn>
    <sortState ref="A1:AI647">
      <sortCondition ref="A1"/>
    </sortState>
    <extLst/>
  </autoFilter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MASTER DATA 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001-PPIC-CPU-05-2018</dc:creator>
  <cp:lastModifiedBy>001-PPIC-CPU-05-2018</cp:lastModifiedBy>
  <dcterms:created xsi:type="dcterms:W3CDTF">2026-09-18T10:15:00Z</dcterms:created>
  <dcterms:modified xsi:type="dcterms:W3CDTF">2026-09-22T09:42:34Z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